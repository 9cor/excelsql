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mpaq\Desktop\base de datos\Material Intermedio Avanzado excel\develop\"/>
    </mc:Choice>
  </mc:AlternateContent>
  <bookViews>
    <workbookView xWindow="0" yWindow="0" windowWidth="15360" windowHeight="7665" tabRatio="876" firstSheet="1" activeTab="5"/>
  </bookViews>
  <sheets>
    <sheet name="Base ejecuciones Oct-17 (2)" sheetId="27" r:id="rId1"/>
    <sheet name="Base ejecuciones Oct-17" sheetId="26" r:id="rId2"/>
    <sheet name="Punto # 1," sheetId="10" r:id="rId3"/>
    <sheet name="Punto # 3," sheetId="24" r:id="rId4"/>
    <sheet name="Punto # 4," sheetId="8" r:id="rId5"/>
    <sheet name="Punto Extra" sheetId="9" r:id="rId6"/>
  </sheets>
  <externalReferences>
    <externalReference r:id="rId7"/>
    <externalReference r:id="rId8"/>
    <externalReference r:id="rId9"/>
  </externalReferences>
  <definedNames>
    <definedName name="_xlnm._FilterDatabase" localSheetId="3" hidden="1">'Punto # 3,'!$C$12:$F$27</definedName>
    <definedName name="_xlcn.WorksheetConnection_Punto4C9G5081" hidden="1">'Punto # 1,'!$C$9:$G$508</definedName>
    <definedName name="año14">'[1]28'!$D$17:$G$24</definedName>
    <definedName name="año15">'[1]28'!$H$17:$K$24</definedName>
    <definedName name="Articulo">OFFSET('[1]18'!$C$24,,,COUNTA('[1]18'!$C$24:$C$1048576))</definedName>
    <definedName name="BASE">[2]BASE!$A$1:$E$11</definedName>
    <definedName name="BDATOS">OFFSET('[1]17'!$C$14,,,COUNTA('[1]17'!$C$14:$C$1048576),5)</definedName>
    <definedName name="cantida">'[1]3'!$G$16:$G$78</definedName>
    <definedName name="Cantidad">'[1]26'!$E$16:$E$22</definedName>
    <definedName name="CEDPRE" localSheetId="0">#REF!</definedName>
    <definedName name="CEDPRE">#REF!</definedName>
    <definedName name="CEDPREX" localSheetId="0">#REF!</definedName>
    <definedName name="CEDPREX">#REF!</definedName>
    <definedName name="Cedula">[2]EXTRACTO!$D$5</definedName>
    <definedName name="Codigoe">OFFSET('[1]12'!$C$12:$J$1048576,,,COUNTA('[1]12'!$C$12:$J$1048576))</definedName>
    <definedName name="codigoprod">'[1]27'!$F$16:$G$18</definedName>
    <definedName name="Costodisfraz" localSheetId="0">#REF!</definedName>
    <definedName name="Costodisfraz">#REF!</definedName>
    <definedName name="costot">'[1]5'!$G$18:$G$27</definedName>
    <definedName name="Datos">'[1]20'!$D$16:$F$22</definedName>
    <definedName name="duracion">'[1]5'!$F$18:$F$27</definedName>
    <definedName name="Empleado">OFFSET('[1]17'!$C$14,,,COUNTA('[1]17'!$C$14:$C$1048576))</definedName>
    <definedName name="fecha">'[1]3'!$C$16:$C$78</definedName>
    <definedName name="final">'[1]5'!$E$18:$E$27</definedName>
    <definedName name="Gastos">'[1]8'!$D$30:$O$30</definedName>
    <definedName name="IMAGEN">OFFSET([3]Ejerc4dos!G1,[3]Ejerc_4!XFD1,0)</definedName>
    <definedName name="Infor">'[1]30'!$D$21:$D$1020</definedName>
    <definedName name="Ingresos">'[1]8'!$D$27:$O$27</definedName>
    <definedName name="Intervalo">'[1]30'!$G$21:$G$41</definedName>
    <definedName name="Mayo">'[1]6'!$H$18:$H$24</definedName>
    <definedName name="mes">'[1]20'!$D$15:$F$15</definedName>
    <definedName name="meses">'[1]20'!$H$16:$I$18</definedName>
    <definedName name="MOVIMIENTOS" localSheetId="0">#REF!</definedName>
    <definedName name="MOVIMIENTOS">#REF!</definedName>
    <definedName name="pais">'[1]4'!$C$14:$C$34</definedName>
    <definedName name="poblacion">'[1]4'!$D$14:$D$34</definedName>
    <definedName name="Precio">'[1]26'!$D$16:$D$22</definedName>
    <definedName name="Precios">'[1]20'!$C$16:$F$22</definedName>
    <definedName name="procesos">[3]Hoja6!$K$3:$K$6</definedName>
    <definedName name="produc">'[1]3'!$D$16:$D$78</definedName>
    <definedName name="product">'[1]27'!$C$25:$C$33</definedName>
    <definedName name="Producto">'[1]20'!$C$16:$C$22</definedName>
    <definedName name="sucursal">'[1]3'!$F$16:$F$78</definedName>
    <definedName name="Total">'[1]26'!$F$16:$F$22</definedName>
    <definedName name="vendedo">'[1]3'!$E$16:$E$78</definedName>
    <definedName name="vendedor">'[1]27'!$D$25:$D$33</definedName>
    <definedName name="vent">'[1]3'!$H$16:$H$78</definedName>
    <definedName name="venta">'[1]27'!$E$25:$E$33</definedName>
    <definedName name="ventas">'[1]8'!$D$14:$G$17</definedName>
    <definedName name="Zona_4">'[1]6'!$D$21:$O$21</definedName>
  </definedNames>
  <calcPr calcId="162913"/>
  <pivotCaches>
    <pivotCache cacheId="0" r:id="rId10"/>
    <pivotCache cacheId="1" r:id="rId11"/>
  </pivotCaches>
  <extLst>
    <ext xmlns:x15="http://schemas.microsoft.com/office/spreadsheetml/2010/11/main" uri="{FCE2AD5D-F65C-4FA6-A056-5C36A1767C68}">
      <x15:dataModel>
        <x15:modelTables>
          <x15:modelTable id="Rango-de758ed5-f4ae-4126-818e-b6b1c1eddb84" name="Rango" connection="WorksheetConnection_Punto # 4!$C$9:$G$508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4" i="9" l="1"/>
  <c r="F22" i="9"/>
  <c r="F11" i="9"/>
  <c r="F12" i="9"/>
  <c r="F13" i="9"/>
  <c r="F14" i="9"/>
  <c r="F15" i="9"/>
  <c r="F16" i="9"/>
  <c r="F17" i="9"/>
  <c r="F18" i="9"/>
  <c r="F19" i="9"/>
  <c r="F10" i="9"/>
  <c r="F9" i="9"/>
  <c r="F19" i="8"/>
  <c r="F7" i="8"/>
  <c r="F13" i="24"/>
  <c r="E13" i="24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11" i="10"/>
  <c r="AC12" i="10" l="1"/>
  <c r="AC13" i="10"/>
  <c r="AC14" i="10"/>
  <c r="AC15" i="10"/>
  <c r="AC16" i="10"/>
  <c r="AC17" i="10"/>
  <c r="AC18" i="10"/>
  <c r="AC19" i="10"/>
  <c r="AC11" i="10"/>
  <c r="AC20" i="10" s="1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11" i="10"/>
  <c r="Z20" i="10" l="1"/>
  <c r="M497" i="27"/>
  <c r="L497" i="27"/>
  <c r="K497" i="27"/>
  <c r="J497" i="27"/>
  <c r="I497" i="27"/>
  <c r="H497" i="27"/>
  <c r="G497" i="27"/>
  <c r="F497" i="27"/>
  <c r="E497" i="27"/>
  <c r="D497" i="27"/>
  <c r="C497" i="27"/>
  <c r="B497" i="27"/>
  <c r="D29" i="24" l="1"/>
  <c r="E26" i="24"/>
  <c r="E25" i="24"/>
  <c r="E24" i="24"/>
  <c r="E22" i="24"/>
  <c r="E23" i="24"/>
  <c r="E21" i="24"/>
  <c r="E20" i="24"/>
  <c r="E19" i="24"/>
  <c r="E18" i="24"/>
  <c r="E17" i="24"/>
  <c r="E16" i="24"/>
  <c r="E15" i="24"/>
  <c r="E14" i="24"/>
  <c r="E27" i="24"/>
  <c r="F8" i="8"/>
  <c r="F9" i="8"/>
  <c r="F10" i="8"/>
  <c r="F11" i="8"/>
  <c r="F12" i="8"/>
  <c r="F13" i="8"/>
  <c r="F14" i="8"/>
  <c r="F15" i="8"/>
  <c r="F16" i="8"/>
  <c r="F17" i="8"/>
  <c r="M497" i="26" l="1"/>
  <c r="L497" i="26"/>
  <c r="K497" i="26"/>
  <c r="J497" i="26"/>
  <c r="I497" i="26"/>
  <c r="H497" i="26"/>
  <c r="G497" i="26"/>
  <c r="F497" i="26"/>
  <c r="E497" i="26"/>
  <c r="D497" i="26"/>
  <c r="C497" i="26"/>
  <c r="B497" i="26"/>
  <c r="E29" i="24" l="1"/>
  <c r="F23" i="24" l="1"/>
  <c r="F18" i="24"/>
  <c r="F15" i="24"/>
  <c r="F27" i="24"/>
  <c r="F26" i="24"/>
  <c r="F21" i="24"/>
  <c r="F19" i="24"/>
  <c r="F20" i="24"/>
  <c r="F25" i="24"/>
  <c r="F22" i="24"/>
  <c r="F24" i="24"/>
  <c r="F14" i="24"/>
  <c r="F17" i="24"/>
  <c r="F16" i="24"/>
</calcChain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unto # 4!$C$9:$G$508" type="102" refreshedVersion="5" minRefreshableVersion="5">
    <extLst>
      <ext xmlns:x15="http://schemas.microsoft.com/office/spreadsheetml/2010/11/main" uri="{DE250136-89BD-433C-8126-D09CA5730AF9}">
        <x15:connection id="Rango-de758ed5-f4ae-4126-818e-b6b1c1eddb84" autoDelete="1">
          <x15:rangePr sourceName="_xlcn.WorksheetConnection_Punto4C9G5081"/>
        </x15:connection>
      </ext>
    </extLst>
  </connection>
</connections>
</file>

<file path=xl/sharedStrings.xml><?xml version="1.0" encoding="utf-8"?>
<sst xmlns="http://schemas.openxmlformats.org/spreadsheetml/2006/main" count="1589" uniqueCount="757">
  <si>
    <t>NOMBRE</t>
  </si>
  <si>
    <t>EDAD</t>
  </si>
  <si>
    <t>ESTADO CIVIL</t>
  </si>
  <si>
    <t>PRESTAMO</t>
  </si>
  <si>
    <t>Marcos</t>
  </si>
  <si>
    <t>Felipe</t>
  </si>
  <si>
    <t>Sandra</t>
  </si>
  <si>
    <t>Marcela</t>
  </si>
  <si>
    <t>Ramón</t>
  </si>
  <si>
    <t>Juan</t>
  </si>
  <si>
    <t>SALARIO</t>
  </si>
  <si>
    <t>BONIFICACION</t>
  </si>
  <si>
    <t>Alexander</t>
  </si>
  <si>
    <t>Martha</t>
  </si>
  <si>
    <t>Raúl</t>
  </si>
  <si>
    <t>David</t>
  </si>
  <si>
    <t>Diego</t>
  </si>
  <si>
    <t>Uriel Sánchez</t>
  </si>
  <si>
    <t>Patricia López</t>
  </si>
  <si>
    <t>Nayibe Peralta</t>
  </si>
  <si>
    <t>Diego Sarmiento</t>
  </si>
  <si>
    <t>Hector Mosquera</t>
  </si>
  <si>
    <t>José Campos</t>
  </si>
  <si>
    <t>Catalina Candamil</t>
  </si>
  <si>
    <t>Nombre</t>
  </si>
  <si>
    <t>Rafael Montoya</t>
  </si>
  <si>
    <t>Aura Mejia</t>
  </si>
  <si>
    <t>Javier Jerez</t>
  </si>
  <si>
    <t>Myriam Farfan</t>
  </si>
  <si>
    <t>Lianer Barragan</t>
  </si>
  <si>
    <t>Marcela Caicedo</t>
  </si>
  <si>
    <t>Jalima Shaker</t>
  </si>
  <si>
    <t>VALOR HORA</t>
  </si>
  <si>
    <t>Valor a Pagar</t>
  </si>
  <si>
    <t>Totales</t>
  </si>
  <si>
    <t>Participación</t>
  </si>
  <si>
    <t>Romulo Talero</t>
  </si>
  <si>
    <t>Enrique</t>
  </si>
  <si>
    <t>Fernando</t>
  </si>
  <si>
    <t>Natalia</t>
  </si>
  <si>
    <t>Ximena</t>
  </si>
  <si>
    <t>Carolina</t>
  </si>
  <si>
    <t>Angela</t>
  </si>
  <si>
    <t>Dora</t>
  </si>
  <si>
    <t>Absalon</t>
  </si>
  <si>
    <t>Adriana</t>
  </si>
  <si>
    <t>Rocio</t>
  </si>
  <si>
    <t>Punto No 1</t>
  </si>
  <si>
    <t>Punto No 2</t>
  </si>
  <si>
    <t>Punto No 3</t>
  </si>
  <si>
    <t>Calcular el valor a pagar de las horas extras a cada trabajador</t>
  </si>
  <si>
    <t>Calcular los totales de las horas extras y valor a pagar</t>
  </si>
  <si>
    <t>Calcular la participación de cada hora extra con respecto al valor a pagar (con dos decimales)</t>
  </si>
  <si>
    <t>Organice la participación de mayor a menor</t>
  </si>
  <si>
    <t>Utilizando la opción formato condicional, identifique con fondo amarillo las participaciones entre 7% y 4%</t>
  </si>
  <si>
    <t>Horas Extras</t>
  </si>
  <si>
    <t>Cantidad créditos aprobados</t>
  </si>
  <si>
    <t>Construya la fórmula que cuente la cantidad de créditos aprobados.</t>
  </si>
  <si>
    <r>
      <t>Construya la fórmula que de como resultado "</t>
    </r>
    <r>
      <rPr>
        <b/>
        <sz val="11"/>
        <rFont val="Arial"/>
        <family val="2"/>
      </rPr>
      <t>Tiene</t>
    </r>
    <r>
      <rPr>
        <sz val="11"/>
        <rFont val="Arial"/>
        <family val="2"/>
      </rPr>
      <t xml:space="preserve"> </t>
    </r>
    <r>
      <rPr>
        <b/>
        <sz val="11"/>
        <rFont val="Arial"/>
        <family val="2"/>
      </rPr>
      <t>bonificación</t>
    </r>
    <r>
      <rPr>
        <sz val="11"/>
        <rFont val="Arial"/>
        <family val="2"/>
      </rPr>
      <t>" o "</t>
    </r>
    <r>
      <rPr>
        <b/>
        <sz val="11"/>
        <rFont val="Arial"/>
        <family val="2"/>
      </rPr>
      <t>No tiene bonificación</t>
    </r>
    <r>
      <rPr>
        <sz val="11"/>
        <rFont val="Arial"/>
        <family val="2"/>
      </rPr>
      <t>"; la bonificación se otorgará a las personas que reciban un salario menor de $1.000.000 o que lleven en la compañía mas de 10 años laborando.</t>
    </r>
  </si>
  <si>
    <t>Construya la formula que cuente la cantidad de personas con salario menor a $1.000.000.</t>
  </si>
  <si>
    <t>Construya la formula que cuente la cantidad de personas con tiempo de servicio mayor a 10 años.</t>
  </si>
  <si>
    <t>Cantidad de personas que ganan &lt; $1.000.000</t>
  </si>
  <si>
    <t>Cantidad de personas &gt; 10 años de servicio</t>
  </si>
  <si>
    <t>AÑOS DE SERVICIO</t>
  </si>
  <si>
    <t>INFORMACION BASICA</t>
  </si>
  <si>
    <t>EJECUCIÓN</t>
  </si>
  <si>
    <t>CEDULA</t>
  </si>
  <si>
    <t xml:space="preserve">COD OFICINA </t>
  </si>
  <si>
    <t>CODIGO GESTOR</t>
  </si>
  <si>
    <t>OFICINA</t>
  </si>
  <si>
    <t>JORNADA</t>
  </si>
  <si>
    <t>ZONA</t>
  </si>
  <si>
    <t>N° Cuentas</t>
  </si>
  <si>
    <t>N° CDT</t>
  </si>
  <si>
    <t>N° Tarjetas De Crédito</t>
  </si>
  <si>
    <t>N° Debitos Automáticos</t>
  </si>
  <si>
    <t>Plan Familia (Millones)</t>
  </si>
  <si>
    <t>Consumo (Millones)</t>
  </si>
  <si>
    <t>Libranza (Millones)</t>
  </si>
  <si>
    <t>Compra Cartera (Millones)</t>
  </si>
  <si>
    <t>Vehículo (Millones)</t>
  </si>
  <si>
    <t>N°  Seguros Desempleo</t>
  </si>
  <si>
    <t>N° Seguros Fraude</t>
  </si>
  <si>
    <t>N° Seguros Accidentes Per.</t>
  </si>
  <si>
    <t>BOGOTÁ CHAPINERO</t>
  </si>
  <si>
    <t>LUIS JAVIER FUENTES LEON</t>
  </si>
  <si>
    <t>NORMAL</t>
  </si>
  <si>
    <t xml:space="preserve"> BOGOTÁ RESTREPO</t>
  </si>
  <si>
    <t>RUBEN DARIO JIMENEZ PRECIADO</t>
  </si>
  <si>
    <t>ARMENIA CENTRO</t>
  </si>
  <si>
    <t>JESSICA ALEXANDRA GIL BERRIO</t>
  </si>
  <si>
    <t>BOGOTÁ LOS HAYUELOS</t>
  </si>
  <si>
    <t>DAVID FELIPE VANEGAS DEL CASTILLO</t>
  </si>
  <si>
    <t>PEREIRA DOSQUEBRADAS</t>
  </si>
  <si>
    <t>LAURA LEDESMA TREJOS</t>
  </si>
  <si>
    <t xml:space="preserve"> BOGOTÁ KENNEDY</t>
  </si>
  <si>
    <t>RODOLFO LOZANO FAJARDO</t>
  </si>
  <si>
    <t>BARRANQUILLA CENTRO</t>
  </si>
  <si>
    <t>ANGELICA BARRIOS TILANO</t>
  </si>
  <si>
    <t>CARTAGENA MALL PLAZA</t>
  </si>
  <si>
    <t>YINA MARCELA MARTINEZ</t>
  </si>
  <si>
    <t>ZIPAQUIRA</t>
  </si>
  <si>
    <t>JENNY LIZETH DONCEL SAAVEDRA</t>
  </si>
  <si>
    <t>PEREIRA AV. DEL RIO</t>
  </si>
  <si>
    <t>MANUEL ALEJANDRO ALZATE PAVAS</t>
  </si>
  <si>
    <t>BOGOTÁ LIDO</t>
  </si>
  <si>
    <t>LISETH NATALIA AGUILERA MONTAÐEZ</t>
  </si>
  <si>
    <t>PEREIRA CIUDAD VICTORIA</t>
  </si>
  <si>
    <t>VANESA LORENA SOTO DUQUE</t>
  </si>
  <si>
    <t>DIANA VARELA</t>
  </si>
  <si>
    <t>CUCUTA ACACIOS</t>
  </si>
  <si>
    <t>MARY STEPHANI YERENA GUERRERO</t>
  </si>
  <si>
    <t>BOGOTÁ SALITRE PLAZA</t>
  </si>
  <si>
    <t>JENNY ELIZABETH RODRIGUEZ CAðON</t>
  </si>
  <si>
    <t xml:space="preserve"> BOGOTÁ CASTILLA</t>
  </si>
  <si>
    <t>JULY PAOLA MORENO PARDO</t>
  </si>
  <si>
    <t>ADICIONAL</t>
  </si>
  <si>
    <t>VILLAVICENCIO - UNICENTRO</t>
  </si>
  <si>
    <t>ANDRES FELIPE SANTOS DUARTE</t>
  </si>
  <si>
    <t>BOGOTÁ CALLE 97</t>
  </si>
  <si>
    <t>BRAYAN JULIAN CLAVIJO MARTINEZ</t>
  </si>
  <si>
    <t>BUCARAMANGA PASEO DEL COMERCIO</t>
  </si>
  <si>
    <t>YANITH SELENA QUINTERO PEREZ</t>
  </si>
  <si>
    <t>MEDELLIN PARQUE BERRIO</t>
  </si>
  <si>
    <t>SERGIO RHENALS</t>
  </si>
  <si>
    <t xml:space="preserve"> BOGOTÁ LA CORONA</t>
  </si>
  <si>
    <t>MAURICIO ANDRES SARRIA TORRES</t>
  </si>
  <si>
    <t>BOGOTÁ EL RETIRO</t>
  </si>
  <si>
    <t>ANDREA JOHANA ROBAYO A</t>
  </si>
  <si>
    <t>ALEJANDRA PINEDA</t>
  </si>
  <si>
    <t>PEREIRA LAGO URIBE</t>
  </si>
  <si>
    <t>IRMA LUCIA BERMUDEZ UTIMA</t>
  </si>
  <si>
    <t>CATALINA FUENTES MARIN</t>
  </si>
  <si>
    <t>BUCARAMANGA CACIQUE</t>
  </si>
  <si>
    <t>NIDIA NATALIA TORRES TRIANA</t>
  </si>
  <si>
    <t>BOGOTÁ SUBA</t>
  </si>
  <si>
    <t>OLGA LUCIA BELTRAN AVILA</t>
  </si>
  <si>
    <t>PEREIRA CRA. SEPTIMA</t>
  </si>
  <si>
    <t>JESICA GARCIA PULIDO</t>
  </si>
  <si>
    <t>BOGOTÁ ALHAMBRA</t>
  </si>
  <si>
    <t>MAYERLLY STEFANIA BAYONA</t>
  </si>
  <si>
    <t>CUCUTA PRINCIPAL</t>
  </si>
  <si>
    <t>VIVIANA ANDREA SANDOVAL C</t>
  </si>
  <si>
    <t>YAMILE FAJARDO</t>
  </si>
  <si>
    <t>BOGOTÁ CALLE 13</t>
  </si>
  <si>
    <t>PAOLA ANDREA GARZON PARRA</t>
  </si>
  <si>
    <t>CARTAGENA CENTRO</t>
  </si>
  <si>
    <t>MICHAEL EDUARDO GALVIS MARTINEZ</t>
  </si>
  <si>
    <t>MEDELLIN ÉXITO COLOMBIA</t>
  </si>
  <si>
    <t>CASTILLO PENAGOS LILIANA</t>
  </si>
  <si>
    <t>VILLAVICENCIO LLANOCENTRO</t>
  </si>
  <si>
    <t>GLORIA CASAS COBUS</t>
  </si>
  <si>
    <t>ADRIANA MILENA VANEGAS SALAZAR</t>
  </si>
  <si>
    <t>BOGOTÁ AVENIDA CHILE</t>
  </si>
  <si>
    <t>ANDRES ALTAMIRANDA</t>
  </si>
  <si>
    <t>CALI PRINCIPAL</t>
  </si>
  <si>
    <t>CARLOS BUENO</t>
  </si>
  <si>
    <t>MEDELLIN BELLO</t>
  </si>
  <si>
    <t>NATHALY LOPEZ</t>
  </si>
  <si>
    <t>BOGOTÁ BULEVAR NIZA</t>
  </si>
  <si>
    <t>ALFONSO TRUJILLO DULCEY</t>
  </si>
  <si>
    <t>CHÍA SABANA NORTE</t>
  </si>
  <si>
    <t>NATALIA CAÐAS PINO</t>
  </si>
  <si>
    <t>BOGOTÁ LA TORRE</t>
  </si>
  <si>
    <t>ANGIE PAOLA RUIZ GORDILLO</t>
  </si>
  <si>
    <t>BOGOTÁ CENTRO 93</t>
  </si>
  <si>
    <t>YINA MARCELA ACEVEDO</t>
  </si>
  <si>
    <t>BOGOTÁ CALLE 170</t>
  </si>
  <si>
    <t>LILIANA GALINDO RAMIREZ</t>
  </si>
  <si>
    <t>BOGOTÁ ALCAZARES</t>
  </si>
  <si>
    <t>ANDERSON VARGAS TOCORA</t>
  </si>
  <si>
    <t>MEDELLIN CITY PLAZA</t>
  </si>
  <si>
    <t>CLAUDIA LLAMAS TENORIO</t>
  </si>
  <si>
    <t>MEDELLIN SANTAFE</t>
  </si>
  <si>
    <t>DANIEL ACOSTA OLARTE</t>
  </si>
  <si>
    <t>BOGOTÁ CEDRO BOLIVAR</t>
  </si>
  <si>
    <t>YADY ASTRID RIVERA VARGAS</t>
  </si>
  <si>
    <t>BUCARAMANGA CABECERA DEL LLANO</t>
  </si>
  <si>
    <t>FRANCY DANIELA RUGELES CALVETE</t>
  </si>
  <si>
    <t>SEBASTIAN MOSSO</t>
  </si>
  <si>
    <t>BARRANQUILLA PRINCIPAL</t>
  </si>
  <si>
    <t>ERNESTO EDUARDO VELEZ ARROYO</t>
  </si>
  <si>
    <t>BOGOTÁ ANTIGUO COUNTRY</t>
  </si>
  <si>
    <t>CHAPARRO JAIME, SEBASTIAN</t>
  </si>
  <si>
    <t>MONTERIA ALAMEDAS</t>
  </si>
  <si>
    <t>DEISY ALEJANDRA JIMENEZ FORTICH</t>
  </si>
  <si>
    <t>ROCIO DEL PILAR PATERNINA</t>
  </si>
  <si>
    <t>CARTAGO</t>
  </si>
  <si>
    <t>CARLOS EDUARDO SOTO CARDONA</t>
  </si>
  <si>
    <t>JEIMY NATHALY PINZON SILVA</t>
  </si>
  <si>
    <t>LISBETH CAROLINA BECERRA</t>
  </si>
  <si>
    <t>CRISTIAN CAMILO JOVER PEREZ</t>
  </si>
  <si>
    <t xml:space="preserve"> BOGOTÁ CIUDAD MONTES</t>
  </si>
  <si>
    <t>LADY JOHANA ESTRADA DELGADO</t>
  </si>
  <si>
    <t>BARRANQUILLA BUENAVISTA</t>
  </si>
  <si>
    <t>KARINA SUAREZ ORTEGA</t>
  </si>
  <si>
    <t>HERNAN DARIO CORTES</t>
  </si>
  <si>
    <t>BOGOTÁ AVENIDA QUINCE</t>
  </si>
  <si>
    <t>NATALIA VALDERRAMA</t>
  </si>
  <si>
    <t>PAULA ANDREA GARCIA SOLANO</t>
  </si>
  <si>
    <t>WILSON ELIAS GONZALEZ BELEÐO</t>
  </si>
  <si>
    <t>JUAN DE JESUS GOMEZ</t>
  </si>
  <si>
    <t>LIZETH STEFANY ZARATE</t>
  </si>
  <si>
    <t xml:space="preserve"> BOGOTÁ FONTIBON</t>
  </si>
  <si>
    <t>SANDRA YELENA PINZON PINZON</t>
  </si>
  <si>
    <t>CUCUTA VENTURA PLAZA</t>
  </si>
  <si>
    <t>ANYELA JULIANA TRIANA DIAZ</t>
  </si>
  <si>
    <t>BOGOTÁ CEDRITOS</t>
  </si>
  <si>
    <t>LAURA VALENTINA SANCHEZ RODRIGUEZ</t>
  </si>
  <si>
    <t>CLAUDIA RINCON</t>
  </si>
  <si>
    <t>CALI LA 70</t>
  </si>
  <si>
    <t>LEYDI RUEDA</t>
  </si>
  <si>
    <t>BOGOTÁ SANTA BARBARA</t>
  </si>
  <si>
    <t>CAROL BIBIANA BARRERA LOPEZ</t>
  </si>
  <si>
    <t>IBAGUE CARRERA 5</t>
  </si>
  <si>
    <t>MARIAM YASMIN MURILLO RUBIO</t>
  </si>
  <si>
    <t>LUISA MARIA SANTANA UPEGUI</t>
  </si>
  <si>
    <t>BUCARAMANGA PIEDECUESTA</t>
  </si>
  <si>
    <t>ALBA PATRICIA TRIANA</t>
  </si>
  <si>
    <t>GARCIA VALENCIA KAREN ALEJANDRA</t>
  </si>
  <si>
    <t>MONTERIA BUENAVISTA</t>
  </si>
  <si>
    <t>BEATRIZ HERNANDEZ CIRO</t>
  </si>
  <si>
    <t>BOGOTÁ PALOQUEMAO</t>
  </si>
  <si>
    <t>GINA MARCELA HERNANDEZ CALLEJAS</t>
  </si>
  <si>
    <t>BOGOTÁ SUBA IMPERIAL</t>
  </si>
  <si>
    <t>LADY XIOMARA PARRAGA PATIÐO</t>
  </si>
  <si>
    <t>ALEJANDRA BETANCOURT</t>
  </si>
  <si>
    <t>ANDRES PEREZ ARBOLEDA</t>
  </si>
  <si>
    <t>KATHERINE ANZOLA</t>
  </si>
  <si>
    <t>DANIEL SANTIAGO PRIETO</t>
  </si>
  <si>
    <t>MEDELLIN AV. CUNDINAMARCA</t>
  </si>
  <si>
    <t>SANTIAGO URAN</t>
  </si>
  <si>
    <t>MEDELLIN ITAGUI</t>
  </si>
  <si>
    <t>ESTEFANIA HERRERA</t>
  </si>
  <si>
    <t>SARMIENTO CRUZ  DIANA DABEIBA</t>
  </si>
  <si>
    <t>PASTO PLAZA DE NARIÑO</t>
  </si>
  <si>
    <t>CARLOS DELGADO</t>
  </si>
  <si>
    <t>DIEGO ALEJANDRO CASTRO</t>
  </si>
  <si>
    <t>KEITY MARIA PULIDO POLO</t>
  </si>
  <si>
    <t>BOGOTÁ ISERRA 100</t>
  </si>
  <si>
    <t>JULIE PAOLA OLARTE VALBUENA</t>
  </si>
  <si>
    <t>IBAGUE PRINCIPAL</t>
  </si>
  <si>
    <t>JULIETH TATIANA URUEÐA MARTINEZ</t>
  </si>
  <si>
    <t xml:space="preserve"> FACATATIVA CENTRO</t>
  </si>
  <si>
    <t>ADRIANA RODRIGUEZ</t>
  </si>
  <si>
    <t>MEDELLIN SAN FERNANDO PLAZA</t>
  </si>
  <si>
    <t>SOR LILIA LOPEZ</t>
  </si>
  <si>
    <t>BOGOTÁ FERIAS</t>
  </si>
  <si>
    <t>TATIANA PAOLA GIRALDO FEO</t>
  </si>
  <si>
    <t>OLGA SOFIA CABRERA</t>
  </si>
  <si>
    <t>BOGOTÁ LA MAGDALENA</t>
  </si>
  <si>
    <t>MATEO BARAJAS</t>
  </si>
  <si>
    <t>VICTOR GALINDO</t>
  </si>
  <si>
    <t xml:space="preserve"> BOGOTÁ SOACHA</t>
  </si>
  <si>
    <t>JEIMMYá ZULAY FORERO CEPEDA</t>
  </si>
  <si>
    <t>POPAYAN CLUB</t>
  </si>
  <si>
    <t>MELBA MONTENEGRO</t>
  </si>
  <si>
    <t>PASTO AVENIDA PANAMERICANA</t>
  </si>
  <si>
    <t>ANNY SINISTERRA</t>
  </si>
  <si>
    <t>CARLOS MARIO CASTILLO TIQUE</t>
  </si>
  <si>
    <t>MANIZALES CABLE PLAZA</t>
  </si>
  <si>
    <t>LEIDY JOHANA GONZALEZ FLOREZ</t>
  </si>
  <si>
    <t>CALI UNICENTRO</t>
  </si>
  <si>
    <t>LEONEL MONTOYA</t>
  </si>
  <si>
    <t>BOGOTÁ COLINA 138</t>
  </si>
  <si>
    <t>RAFAEL EDUARDO BEDOYA</t>
  </si>
  <si>
    <t>BOGOTÁ CIUDAD SALITRE</t>
  </si>
  <si>
    <t>PENA REINOSO, LAURA CATALINA</t>
  </si>
  <si>
    <t>NEIVA CENTRO</t>
  </si>
  <si>
    <t>ADRIANA CRISTINA GAITAN DIAZ</t>
  </si>
  <si>
    <t>YALIT MARCELA CORREDOR ALFONSO</t>
  </si>
  <si>
    <t xml:space="preserve"> BOGOTÁ SAN CARLOS</t>
  </si>
  <si>
    <t>CAROLINA PEREZ</t>
  </si>
  <si>
    <t>MEDELLIN LAS VEGAS</t>
  </si>
  <si>
    <t>LIZETH CRISTINA GUERRA</t>
  </si>
  <si>
    <t xml:space="preserve"> BOGOTÁ MODELIA</t>
  </si>
  <si>
    <t>KAREN LASPRILLA</t>
  </si>
  <si>
    <t>NATALIA XILENA MORANTES SAAVEDRA</t>
  </si>
  <si>
    <t>CARTAGENA PRINCIPAL</t>
  </si>
  <si>
    <t>WILLIAM ANDRES RIVERA RODRIGUEZ</t>
  </si>
  <si>
    <t>JORGE ARMANDO SOTO MARIN</t>
  </si>
  <si>
    <t>BARRANQUILLA ANDES</t>
  </si>
  <si>
    <t>ELISENIA JUDITH HERNANDEZ SERRANO</t>
  </si>
  <si>
    <t>ANTONIO  QUIROGA FORERO</t>
  </si>
  <si>
    <t>ELYER FABIAN MUÐOZ</t>
  </si>
  <si>
    <t>SANDRA JAIMES TORRADO</t>
  </si>
  <si>
    <t>NELSON MAURICIO LOPEZ VILLALBA</t>
  </si>
  <si>
    <t>MIGUEL RODRIGO CORREDOR BERNAL</t>
  </si>
  <si>
    <t>MARIA AZUCENA LOPEZ BRAVO</t>
  </si>
  <si>
    <t>BOGOTÁ IBERIA</t>
  </si>
  <si>
    <t>EDITH CHIQUILLO</t>
  </si>
  <si>
    <t>MANIZALES</t>
  </si>
  <si>
    <t>LILIANA PAOLA PALACIOS MOSQUERA</t>
  </si>
  <si>
    <t>ALEJANDRA LARRAHONDO</t>
  </si>
  <si>
    <t>MEDELLIN LAURELES SANTATERESITA</t>
  </si>
  <si>
    <t>LINA ALVAREZ LOPEZ</t>
  </si>
  <si>
    <t>VALLEDUPAR GUATAPURI</t>
  </si>
  <si>
    <t>LILIANA SUGEY ESTRADA AVILA</t>
  </si>
  <si>
    <t>MEDELLIN  GRAN VIA</t>
  </si>
  <si>
    <t>DIEGO BUSTAMANTE</t>
  </si>
  <si>
    <t>BARRANQUILLA TORCOROMA</t>
  </si>
  <si>
    <t>ROSA LINDA DONADO</t>
  </si>
  <si>
    <t>JOSE LEONARDO SANTOS ALVARADO</t>
  </si>
  <si>
    <t>SANDRA PATRICIA MONTENEGRO CUBIDES</t>
  </si>
  <si>
    <t>DAYANA PAJARO TORRES</t>
  </si>
  <si>
    <t>BOGOTÁ CARRERA DECIMA</t>
  </si>
  <si>
    <t>SANDY MILENA QUEVEDO BERMUDEZ</t>
  </si>
  <si>
    <t>BARRANQUILLA CALLE 93</t>
  </si>
  <si>
    <t>GUSTAVO GONZALEZ RODRIGUEZ</t>
  </si>
  <si>
    <t>BOGOTÁ CALLE 74</t>
  </si>
  <si>
    <t>MARITZA CASTILLO</t>
  </si>
  <si>
    <t>SANTA MARTA LAS PALMAS</t>
  </si>
  <si>
    <t>JULIETH ALEJANDRA PEÐA ORTEGA</t>
  </si>
  <si>
    <t>OSCAR ORLANDO ORTIZ SANCHEZ</t>
  </si>
  <si>
    <t>CALI LA FLORA</t>
  </si>
  <si>
    <t>MARIA ANGELICA ROLDAN</t>
  </si>
  <si>
    <t>BOGOTÁ PRADO VERANIEGO</t>
  </si>
  <si>
    <t>JENNIFER MARQUEZ</t>
  </si>
  <si>
    <t>CLAUDIA TRIGOS ALZATE</t>
  </si>
  <si>
    <t>MEDELLIN LAURELES LA 80 ÉXITO</t>
  </si>
  <si>
    <t>TATIANA VANESA ROJAS</t>
  </si>
  <si>
    <t>JENIFER GARCIA ZULUAGA</t>
  </si>
  <si>
    <t>BOGOTA CONNECTA</t>
  </si>
  <si>
    <t>CABRERA SUAREZ FABIOLA</t>
  </si>
  <si>
    <t>GOMEZ SIERRA ANGIE GERALDINNE</t>
  </si>
  <si>
    <t>JUAN CARLOS CASTELLANOS LOZANO</t>
  </si>
  <si>
    <t>BOGOTÁ GALERIAS</t>
  </si>
  <si>
    <t>VIVIAN SOFIA CORREDOR LUCERO</t>
  </si>
  <si>
    <t xml:space="preserve"> BOGOTÁ BOSA</t>
  </si>
  <si>
    <t>JESSICA PAOLA RAMIREZ GOMEZ</t>
  </si>
  <si>
    <t>ANGELA CAÐAVERAL</t>
  </si>
  <si>
    <t xml:space="preserve"> BOGOTÁ CAZUCA</t>
  </si>
  <si>
    <t>NEIDER YESID BALLESTEROS</t>
  </si>
  <si>
    <t>BARRANQUILLA CALLE 30</t>
  </si>
  <si>
    <t>JASMIN PANTOJA</t>
  </si>
  <si>
    <t>MARTINEZ BAMBAGUE, DIANA MARCELA</t>
  </si>
  <si>
    <t>PLAZA CENTRAL</t>
  </si>
  <si>
    <t>JOSE LUIS ORTIZ ZOLAQUE</t>
  </si>
  <si>
    <t>ANA MARIA GARCIA SOTO</t>
  </si>
  <si>
    <t>SONIA GOMEZ</t>
  </si>
  <si>
    <t>LANCHEROS SUAREZ, PAOLA ANDREA</t>
  </si>
  <si>
    <t>BOGOTÁ DIVER PLAZA</t>
  </si>
  <si>
    <t>JENNIFER GARAVITO</t>
  </si>
  <si>
    <t>BARRANQUILLA  VIA 40</t>
  </si>
  <si>
    <t>BELKIS AREVALO</t>
  </si>
  <si>
    <t xml:space="preserve"> BOGOTÁ TOBERIN</t>
  </si>
  <si>
    <t>DIEGO FERNANDO BOCANEGRA MOLINA</t>
  </si>
  <si>
    <t>NATALIA MURILLO</t>
  </si>
  <si>
    <t xml:space="preserve"> BOGOTÁ CENTRO MAYOR</t>
  </si>
  <si>
    <t>HURTADO SABOGAL, DAVID SEBASTIAN</t>
  </si>
  <si>
    <t>ALISON MELO GARZON</t>
  </si>
  <si>
    <t>TATIANA ORDOÐEZ SERRATO</t>
  </si>
  <si>
    <t>BOGOTA HACIENDA SANTA BARBARA</t>
  </si>
  <si>
    <t>ASTRID JOHANA MARTINEZ</t>
  </si>
  <si>
    <t>JUAN DIEGO ROBLES CORTES</t>
  </si>
  <si>
    <t>BARRANQUILLA AMERICANO</t>
  </si>
  <si>
    <t>MARIA FERNANDA CANTILLO MIER</t>
  </si>
  <si>
    <t>PEREIRA MEGACENTRO PINARES</t>
  </si>
  <si>
    <t>JOSE FERNEY OSPINA</t>
  </si>
  <si>
    <t>SOGAMOSO</t>
  </si>
  <si>
    <t>HECTOR HUGO HERNANDEZ PACHECO</t>
  </si>
  <si>
    <t>LINA  ESTHER URANGO GALEANO</t>
  </si>
  <si>
    <t>NORMA ALEXANDRA CERON MERA</t>
  </si>
  <si>
    <t>CRISTIAN FELIPE IBARGUEN SALAS</t>
  </si>
  <si>
    <t>LUSA FERNANDA GUTIERREZ</t>
  </si>
  <si>
    <t>DIANA MARCELA BELTRAN A</t>
  </si>
  <si>
    <t>ANGIE C OLAYA VARGAS</t>
  </si>
  <si>
    <t>KENIA ACOSTA NARANJO</t>
  </si>
  <si>
    <t>SONIA ANDREA LOZANO GUACANEME</t>
  </si>
  <si>
    <t>TORRES HERNANDEZ DAYRA CARMENZA</t>
  </si>
  <si>
    <t>IBAGUE LA ESTACION</t>
  </si>
  <si>
    <t>STEVE FELIPE QUIÐONES</t>
  </si>
  <si>
    <t>TULIA INES PEDRAZA CELIS</t>
  </si>
  <si>
    <t>BOGOTÁ CALLE 91</t>
  </si>
  <si>
    <t>LAURA A. VAZQUES C</t>
  </si>
  <si>
    <t>JULIETA DUQUE</t>
  </si>
  <si>
    <t>MEDELLIN PLAZA MAYORISTA</t>
  </si>
  <si>
    <t>MARIANA JARAMILLO</t>
  </si>
  <si>
    <t>LESLI DELGADO</t>
  </si>
  <si>
    <t>ALVARO CARDONA FERNANDEZ</t>
  </si>
  <si>
    <t>JOHANA MARCELA CASTAÐEDA</t>
  </si>
  <si>
    <t>JULIE ANDREA PALACIOS CADENA</t>
  </si>
  <si>
    <t>BOGOTÁ PONTEVEDRA</t>
  </si>
  <si>
    <t>KENDRY DEL VALLE</t>
  </si>
  <si>
    <t>ARMENIA FUNDADORES</t>
  </si>
  <si>
    <t>ANDERSON LOPEZ LOPEZ</t>
  </si>
  <si>
    <t>BOGOTÁ SAN MARTIN</t>
  </si>
  <si>
    <t>SANDRA ALICIA FORERO MENDIETA</t>
  </si>
  <si>
    <t>HEIDY LICETH SALGADO LONDOÐO</t>
  </si>
  <si>
    <t>JOHAN SEBASTIAN GONZALEZ FUENTES</t>
  </si>
  <si>
    <t>CALI PALMETTO</t>
  </si>
  <si>
    <t>EDWIN DUARTE</t>
  </si>
  <si>
    <t>MARIA YURANY MEDINA QUESADA</t>
  </si>
  <si>
    <t xml:space="preserve"> BOGOTÁ MONTEVIDEO</t>
  </si>
  <si>
    <t>KAREN IVONE MONSALVE OCHOA</t>
  </si>
  <si>
    <t>VILLAVICENCIO - EL PARQUE</t>
  </si>
  <si>
    <t>MARTHA ELIZABETH JIMENEZ</t>
  </si>
  <si>
    <t>LADY PAOLA CARO TOLOSA</t>
  </si>
  <si>
    <t>BUCARAMANGA LA FLORIDA</t>
  </si>
  <si>
    <t>KAREN SOFIA PARDO PEREZ</t>
  </si>
  <si>
    <t>JHON JAIRO BETANCUR OSORNO</t>
  </si>
  <si>
    <t>YELENA NATHALIA GONGORA URREGO</t>
  </si>
  <si>
    <t>NATALY ALVAREZ</t>
  </si>
  <si>
    <t>BOGOTÁ CALLE 109</t>
  </si>
  <si>
    <t>JULY VIVIANA AMEZQUITA</t>
  </si>
  <si>
    <t>ERIKA FERNANDA VELANDIA LOPEZ</t>
  </si>
  <si>
    <t>SANTA MARTA</t>
  </si>
  <si>
    <t>MARTHA BORJA CUELLAR</t>
  </si>
  <si>
    <t>BUGA</t>
  </si>
  <si>
    <t>JULIAN LENIS</t>
  </si>
  <si>
    <t>BOGOTÁ SANTA FE</t>
  </si>
  <si>
    <t>JERSON REINALDO CASTELLANOS CUERVO</t>
  </si>
  <si>
    <t>RAFAEL ACUÐA ESPEJO</t>
  </si>
  <si>
    <t>CAROLINA VANEGAS CELY</t>
  </si>
  <si>
    <t>GLORIA BETY VALENCIA</t>
  </si>
  <si>
    <t>VIVIANA ANDREA LOPEZ</t>
  </si>
  <si>
    <t>JULIETH VANESSA BARBOSA BARRERO</t>
  </si>
  <si>
    <t>SERGIO FERNANDO BAYONA ASTRO</t>
  </si>
  <si>
    <t>YEIMI LILIANA NOVA VILLAMIL</t>
  </si>
  <si>
    <t>ADRIANA YAMILE CHALA COBOS</t>
  </si>
  <si>
    <t>MONTERIA CENTRO</t>
  </si>
  <si>
    <t>JULY PAUBLINE GIRALDO</t>
  </si>
  <si>
    <t>LINA PAOLA SUAREZ RAMON</t>
  </si>
  <si>
    <t>LAURA ISABEL SANCHEZ CASALLAS</t>
  </si>
  <si>
    <t>LAURA ALEJANDRA HERNANDEZ BUITRAGO</t>
  </si>
  <si>
    <t>SARA PAULINA BORNACELLY BARRIOS</t>
  </si>
  <si>
    <t>PAOLA ANDREA POTES</t>
  </si>
  <si>
    <t>GENNY CAROLINA OLIVEROS CASTELLANOS</t>
  </si>
  <si>
    <t>MILENA TORRES</t>
  </si>
  <si>
    <t>BOGOTÁ CENTRO CHIA</t>
  </si>
  <si>
    <t>LILIANA TELLEZ</t>
  </si>
  <si>
    <t>PIZA USAQU╔N PAOLA</t>
  </si>
  <si>
    <t>TUNJA CENTRO</t>
  </si>
  <si>
    <t>EDWIN FERNANDO HURTADO SEQUEDA</t>
  </si>
  <si>
    <t>MEDELLIN PREMIUM PLAZA</t>
  </si>
  <si>
    <t>AMADO DE JESUS LONDOðO</t>
  </si>
  <si>
    <t>MILEYDI YOHANA VALDERRAMA ROBAYO</t>
  </si>
  <si>
    <t>BARRANQUILLA ViVA CRA 51B</t>
  </si>
  <si>
    <t>SERGIO LUIS SOJO TAPIAS</t>
  </si>
  <si>
    <t>CASTAÐEDA VELOZA YUNNILD YADIR</t>
  </si>
  <si>
    <t>STEFANIA MARIN</t>
  </si>
  <si>
    <t>MEDELLIN MAYORCA</t>
  </si>
  <si>
    <t>ELIANA GIRALDO PEREZ</t>
  </si>
  <si>
    <t>JUAN SEBASTIAN NARVAEZ ARCINIEGAS</t>
  </si>
  <si>
    <t>YURANY TRIVIÐO</t>
  </si>
  <si>
    <t>SOFIA RODRIGUEZ</t>
  </si>
  <si>
    <t>LUZ ELENA OBREGON LAGUNA</t>
  </si>
  <si>
    <t>BUCARAMANGA MEGA MALL</t>
  </si>
  <si>
    <t>YERLY KATHERINE SEPULVEDA LOPEZ</t>
  </si>
  <si>
    <t>EILLEEN ASTRID PINZON BARBOSA</t>
  </si>
  <si>
    <t>BOGOTÁ NORMANDIA</t>
  </si>
  <si>
    <t>ANDREA CATALINA TRUJILLO</t>
  </si>
  <si>
    <t>WENDY  YESSENNY MORA FLOREZ</t>
  </si>
  <si>
    <t>ANDREA ESCUDEROS VARGAS</t>
  </si>
  <si>
    <t>LADY JOHANNA MARTINEZ MORENO</t>
  </si>
  <si>
    <t>BOGOTÁ VILLA DEL PRADO</t>
  </si>
  <si>
    <t>RA┌L ALEJANDRO NOVA HUERTAS</t>
  </si>
  <si>
    <t>RAMIREZ HURTADO IVONNE MARITZA</t>
  </si>
  <si>
    <t>JULIETH ALEXANDRA MORALES GONZALEZ</t>
  </si>
  <si>
    <t>DIANA ESPITIA</t>
  </si>
  <si>
    <t>DIEGO RODRIGUEZ GELVEZ</t>
  </si>
  <si>
    <t>ANGY PAOLA PEÐUELA PEDRAZA</t>
  </si>
  <si>
    <t>MICHAEL JAIR F╔LIX M╔NDEZ</t>
  </si>
  <si>
    <t>KAREN YULIETH GARCIA GALINDO</t>
  </si>
  <si>
    <t>LEIDY YULIETH FIALLO MONTAÐEZ</t>
  </si>
  <si>
    <t>IPIALES</t>
  </si>
  <si>
    <t>BUSTOS BEDOYA ADRIANA</t>
  </si>
  <si>
    <t>DORA LIGIA GARCIA</t>
  </si>
  <si>
    <t>CATALINA ALVAREZ MUNERA</t>
  </si>
  <si>
    <t>MAYLING JINNETBZA DIAZ IBARRA</t>
  </si>
  <si>
    <t>MEDELLIN RIONEGRO PARQUE</t>
  </si>
  <si>
    <t>JORGE MARIO MARQUEZ</t>
  </si>
  <si>
    <t>JULLY ANDREA VALERO GOMEZ</t>
  </si>
  <si>
    <t xml:space="preserve"> BOGOTÁ VEINTE DE JULIO</t>
  </si>
  <si>
    <t>ALICIA SANCHEZ PEREZ</t>
  </si>
  <si>
    <t>NICOLE ALEXANDRA GOMEZ RUIZ</t>
  </si>
  <si>
    <t>ANGIE CATHERINE BAQUERO</t>
  </si>
  <si>
    <t>SUSANA ELIZABETH BLANCO GUERRA</t>
  </si>
  <si>
    <t>BRICENO VALENCIA LADY CAROLINA</t>
  </si>
  <si>
    <t>MEDELLIN AVES MARIAS</t>
  </si>
  <si>
    <t>ERIKA DO SANTOS</t>
  </si>
  <si>
    <t>JENNY PAOLA GONZALEZ YANQUEN</t>
  </si>
  <si>
    <t>QUINONES CUIDA, LIZ YENCI</t>
  </si>
  <si>
    <t>BRYAN  ANDRES GALEANO COLMENARES</t>
  </si>
  <si>
    <t>ESTEFANY  CRUZ CESPEDES</t>
  </si>
  <si>
    <t>BOGOTÁ SIETE DE AGOSTO</t>
  </si>
  <si>
    <t>JENNY CAROLINA RODRIGUEZ</t>
  </si>
  <si>
    <t>LEIDY CORREA</t>
  </si>
  <si>
    <t>ESNEIDER  HERNANDEZ HERNANDEZ</t>
  </si>
  <si>
    <t>DIANA GISELLA CRISTANCHO NIÐO</t>
  </si>
  <si>
    <t>BOGOTÁ UNICENTRO</t>
  </si>
  <si>
    <t>PEDRO ALONSO PARDO GOMEZ</t>
  </si>
  <si>
    <t>BOGOTÁ GRAN ESTACION</t>
  </si>
  <si>
    <t>MARY LUZ CASTILLO</t>
  </si>
  <si>
    <t>LEIDY JOHANA JARAMILLO</t>
  </si>
  <si>
    <t>LUZ ELENA MARQUEZ</t>
  </si>
  <si>
    <t>POPAYAN</t>
  </si>
  <si>
    <t>CAMILA SAAVEDRA</t>
  </si>
  <si>
    <t>SEBASTIAN MEJIA</t>
  </si>
  <si>
    <t xml:space="preserve"> BOGOTÁ FONTIBON LA MACARENA</t>
  </si>
  <si>
    <t>LOZANO RIVERA CELDY MARCELA</t>
  </si>
  <si>
    <t>DIANA PAOLA RUIZ RODRIGUEZ</t>
  </si>
  <si>
    <t>MEDELLIN DE LA 65</t>
  </si>
  <si>
    <t>DILAN PEREZ</t>
  </si>
  <si>
    <t>MARIA YULEINIS BENJUMEA</t>
  </si>
  <si>
    <t>BUCARAMANGA SOTOMAYOR</t>
  </si>
  <si>
    <t>LUZ ENID PEREZ IBARRA</t>
  </si>
  <si>
    <t>KAROL OCHOA LLAMAS</t>
  </si>
  <si>
    <t>ANDRES CAMILO CRUZ GARCIA</t>
  </si>
  <si>
    <t>KAREN JOHANA MARTINEZ MENDOZA</t>
  </si>
  <si>
    <t>LEIDY CORONEL SANCHEZ</t>
  </si>
  <si>
    <t>BLANCA PINILLA</t>
  </si>
  <si>
    <t>MEDELLIN PALMA GRANDE</t>
  </si>
  <si>
    <t>ALECXIS ZAPATA</t>
  </si>
  <si>
    <t>IBAGUE MULTICENTRO</t>
  </si>
  <si>
    <t>JORGE DIAZGRANADOS ZAMUDIO</t>
  </si>
  <si>
    <t>ELIZABETH SUAREZ</t>
  </si>
  <si>
    <t>IGNACIO LORA</t>
  </si>
  <si>
    <t>BOGOTÁ PARK WAY</t>
  </si>
  <si>
    <t>DANIELA RODRIGUEZ CHITIVA</t>
  </si>
  <si>
    <t>BOGOTÁ CALLE 80</t>
  </si>
  <si>
    <t>ANDRES DAVID GIL TORRES</t>
  </si>
  <si>
    <t>ANA MILENA CASTRO</t>
  </si>
  <si>
    <t>GINNA PAOLA PRIETO GARCIA</t>
  </si>
  <si>
    <t>EDGAR DAVILA</t>
  </si>
  <si>
    <t>YENNI FERNANDA MORA TORRES</t>
  </si>
  <si>
    <t>MARIA CAMILA TOCANCIPA IBAÐEZ</t>
  </si>
  <si>
    <t>CAROLINA PRECIADO GUTIERREZ</t>
  </si>
  <si>
    <t>GUSTAVO ADOLFO DAVILA</t>
  </si>
  <si>
    <t>NAYIBE HERNANDEZ GARCIA</t>
  </si>
  <si>
    <t>PALMIRA CENTRO</t>
  </si>
  <si>
    <t>JAZMIN RAMIREZ</t>
  </si>
  <si>
    <t>CARTAGENA PEDRO HEREDIA ÉXITO</t>
  </si>
  <si>
    <t>BLANCA ZAPATEIRO</t>
  </si>
  <si>
    <t>OLIVER BARBOSA MARTINEZ</t>
  </si>
  <si>
    <t>JINETH SANCHEZ</t>
  </si>
  <si>
    <t>MOSQUERA</t>
  </si>
  <si>
    <t>YURANY TORRES BOHORQUEZ</t>
  </si>
  <si>
    <t>JOSE NICOLAS HERNANDEZ PUENTES</t>
  </si>
  <si>
    <t>YEFFERSON MELO</t>
  </si>
  <si>
    <t>MORENO LADINO ZULLY</t>
  </si>
  <si>
    <t>KAROLAN ANDREA SANABRIA</t>
  </si>
  <si>
    <t>ANDREA JUDITH RAMIREZ</t>
  </si>
  <si>
    <t>VALLEDUPAR</t>
  </si>
  <si>
    <t>MAYRA YESENIA MUÐOZ IBAÐEZ</t>
  </si>
  <si>
    <t>NANCY MILENA JAIMES CLAROS</t>
  </si>
  <si>
    <t>ORFELINA MERCEDES CASTRO RUIZ</t>
  </si>
  <si>
    <t>JHON ALEXANDER MENDEZ</t>
  </si>
  <si>
    <t>ELKIN DAVID RODRIGUEZ</t>
  </si>
  <si>
    <t>SINCELEJO</t>
  </si>
  <si>
    <t>STEFANIA HERNANDEZ</t>
  </si>
  <si>
    <t>YULIANA ANDREA HERNANDEZ MORALES</t>
  </si>
  <si>
    <t>OSCAR IVAN MORENO</t>
  </si>
  <si>
    <t>DANIEL ALAPE</t>
  </si>
  <si>
    <t>DIANA PAOLA GONZALEZ PEÐA</t>
  </si>
  <si>
    <t>YOPAL</t>
  </si>
  <si>
    <t>FAUNER JOSE SALCEDO ATILUA</t>
  </si>
  <si>
    <t>DIANA RUIZ TORRES</t>
  </si>
  <si>
    <t>JHON FREDDY VASQUEZ VASQUEZ</t>
  </si>
  <si>
    <t>SARA TORRES SANCHEZ</t>
  </si>
  <si>
    <t>NEIVA SEVILLA</t>
  </si>
  <si>
    <t>MARLON ANDRES ESPAÐA COLORADO</t>
  </si>
  <si>
    <t>STIVEN NAVARRO</t>
  </si>
  <si>
    <t>LAURA STEPHANY TAMAYO BASTO</t>
  </si>
  <si>
    <t>CARTAGENA CARIBE PLAZA</t>
  </si>
  <si>
    <t>IRINA PATRICIA CORDERO PEREZ</t>
  </si>
  <si>
    <t>LAURA VICTORIA MORA GONZALEZ</t>
  </si>
  <si>
    <t>PAULA MATILDE VEGA DOMINGUEZ</t>
  </si>
  <si>
    <t>MARIA EUGENIA MARTINEZ MARTINEZ</t>
  </si>
  <si>
    <t>DANIEL STEVEN CORRALES MORALES</t>
  </si>
  <si>
    <t>EDISON EDILBERTO GUERRERO RODRIGUEZ</t>
  </si>
  <si>
    <t>PAOLA GISETTT HERRERA MEDINA</t>
  </si>
  <si>
    <t>YURANI BUENDIA SUCRE</t>
  </si>
  <si>
    <t>BOGOTA TORRE KRYSTAL</t>
  </si>
  <si>
    <t>MARILYN CONTRERAS MURILLO</t>
  </si>
  <si>
    <t>LAURA CATALINA BENJUMEA ANDRADE</t>
  </si>
  <si>
    <t>ANGIE JULIETH MONTENEGRO QUIROGA</t>
  </si>
  <si>
    <t>DAYANA NOREÐA</t>
  </si>
  <si>
    <t>CAROLINA URREGO</t>
  </si>
  <si>
    <t>JUAN FELIPE PARRA</t>
  </si>
  <si>
    <t>JOHANA MARCELA GUARIN</t>
  </si>
  <si>
    <t>YEISON SALGADO</t>
  </si>
  <si>
    <t>MEDELLIN RIONEGRO TUTUCAN</t>
  </si>
  <si>
    <t>TATIANA ARENAS</t>
  </si>
  <si>
    <t>VASQUEZ HERNANDEZ, CRISTHIAN</t>
  </si>
  <si>
    <t>ESILDA KARINA CASTRO FARELO</t>
  </si>
  <si>
    <t>NEIVA UNICENTRO</t>
  </si>
  <si>
    <t>NADIA PAOLA PEREZ HINESTROZA</t>
  </si>
  <si>
    <t>NURY JAZMIN MERCADO</t>
  </si>
  <si>
    <t>ANGY VIVIANA VARGAS DUARTE</t>
  </si>
  <si>
    <t>MONICA GOMEZ</t>
  </si>
  <si>
    <t>RAQUEL ZAMBRANO PEÐA</t>
  </si>
  <si>
    <t>LUISA FERNANDA MEDINA PERDOMO</t>
  </si>
  <si>
    <t>HERNANDEZ MEDINA KATHERINE JULIETH</t>
  </si>
  <si>
    <t>VIVIANA VALERIA REYES PULIDO</t>
  </si>
  <si>
    <t>KAREN LORENA ORTIZ ANTONIO</t>
  </si>
  <si>
    <t>LUZ MIRYAM ALVAREZ BARRERA</t>
  </si>
  <si>
    <t>BORDA CARDENAS NICOLAS DAVID</t>
  </si>
  <si>
    <t>GLORIA BRIGITH ARGUELLO FONTECHA</t>
  </si>
  <si>
    <t xml:space="preserve"> BOGOTÁ CARVAJAL</t>
  </si>
  <si>
    <t>YICETH ANDREA LOAIZA</t>
  </si>
  <si>
    <t>JOHANA MARCELA CELIS CASTAÐEDA</t>
  </si>
  <si>
    <t>MARIA DEL PILAR MORALES URANGO</t>
  </si>
  <si>
    <t>FABIAN CAMILO RODRIGUEZ OLAYA</t>
  </si>
  <si>
    <t>DIANA MURIEL</t>
  </si>
  <si>
    <t>CARRILLO PERDOMO, JHOAN STEBAN</t>
  </si>
  <si>
    <t>CALI AVENIDA SEXTA</t>
  </si>
  <si>
    <t>JUAN CARLOS TEJADA</t>
  </si>
  <si>
    <t>FANNY ASTRID GUALTEROS MARTINEZ</t>
  </si>
  <si>
    <t>DINORAHT GERALDIN LEON ORTEGA</t>
  </si>
  <si>
    <t>FACATATIVA NOVA PLAZA</t>
  </si>
  <si>
    <t>ANGELICA MARIA FLOREZ OTALORA</t>
  </si>
  <si>
    <t>CALI COSMOCENTRO</t>
  </si>
  <si>
    <t>RUBEN DIAZ</t>
  </si>
  <si>
    <t>KADDY MAYETH  ROSERO PERDOMO</t>
  </si>
  <si>
    <t>VITALIANO PARRA BERNAL</t>
  </si>
  <si>
    <t>ANGELID RIVERA</t>
  </si>
  <si>
    <t>ANDRES EDUARDO MENGUAL RAMIREZ</t>
  </si>
  <si>
    <t>PEREIRA UNICENTRO</t>
  </si>
  <si>
    <t>DIANA MILENA RUIZ BERMUDEZ</t>
  </si>
  <si>
    <t>LILIAM SOFIA REYES</t>
  </si>
  <si>
    <t>BARRANQUILLA VEINTE DE JULIO</t>
  </si>
  <si>
    <t>GARY ROBERTO MOLINA LOZANO</t>
  </si>
  <si>
    <t xml:space="preserve"> BOGOTÁ CENTRO COMERCIAL CARRERA</t>
  </si>
  <si>
    <t>JOHN ALEXANDER GUERRERO SAENZ</t>
  </si>
  <si>
    <t>LEYDI CAROLINA MORANTES RODRIGUEZ</t>
  </si>
  <si>
    <t>VERONICA ESPINOSA</t>
  </si>
  <si>
    <t>EUGENIO ROBERTO MELENDEZ OBREDOR</t>
  </si>
  <si>
    <t>JOHANNA ANDREA GIRALDO PEREZ</t>
  </si>
  <si>
    <t>GINA PAOLA VARGAS TOVAR</t>
  </si>
  <si>
    <t>OSCAR ANDRES VASQUEZ</t>
  </si>
  <si>
    <t>SILVANA DE LEON PACHECO</t>
  </si>
  <si>
    <t>KAREN LORENA RAMIREZ RODRIGUEZ</t>
  </si>
  <si>
    <t>YENNY MARCELA ORDUZ RUSSO</t>
  </si>
  <si>
    <t>JAIME YOVANNY MANOSALVA RODRIGUEZ</t>
  </si>
  <si>
    <t>JORGE MARIO AGUIRRE DOMINGUEZ</t>
  </si>
  <si>
    <t>JUANITA GUERRERO CHAVEZ</t>
  </si>
  <si>
    <t>NESTOR JULIAN MORALES</t>
  </si>
  <si>
    <t>HERNANDEZ GARCIA, CARLOS ANDRES</t>
  </si>
  <si>
    <t>CALI CENTENARIO</t>
  </si>
  <si>
    <t>ALEXANDRA VALENCIA</t>
  </si>
  <si>
    <t>GUTIERREZ BAQUERO, MARIA ALEJANDRA</t>
  </si>
  <si>
    <t>CALI CRA. PRIMERA</t>
  </si>
  <si>
    <t>RAUL JARAMILLO</t>
  </si>
  <si>
    <t>ADRIANA FERRER DUEÐAS</t>
  </si>
  <si>
    <t>ANDRES EDUARDO ROMERO SANCHEZ</t>
  </si>
  <si>
    <t>DIEGO ISRAEL RAMOS SANTANA</t>
  </si>
  <si>
    <t>CAMILA MERCEDES RODRIGUEZ TORRES</t>
  </si>
  <si>
    <t>MICHAEL E. MONTENEGRO</t>
  </si>
  <si>
    <t>MILENA PATRICIA ROJAS MERCADO</t>
  </si>
  <si>
    <t>CLEDY YANIRA NIETO</t>
  </si>
  <si>
    <t>CALI CHIPICHAPE</t>
  </si>
  <si>
    <t>ALEJANDRA QUINTERO</t>
  </si>
  <si>
    <t>EDGAR ANDRES SANCHEZ CONTRERAS</t>
  </si>
  <si>
    <t>MARY ZURLEY SANTAMARIA BARBOSA</t>
  </si>
  <si>
    <t>DIANA RESTREPO MONTES</t>
  </si>
  <si>
    <t>CALI VALLE DE LILI</t>
  </si>
  <si>
    <t>NATHALIA GONZALEZ</t>
  </si>
  <si>
    <t>ALEJANDRO MALLA</t>
  </si>
  <si>
    <t>DIANA ALEJANDRA ECHEVERY MARTINEZ</t>
  </si>
  <si>
    <t>ERIKA VELEZ CANO</t>
  </si>
  <si>
    <t>STEFANIA ALMARIO</t>
  </si>
  <si>
    <t>CRISTHIAN NAVARRO</t>
  </si>
  <si>
    <t>LILIAN GREY GUERRA</t>
  </si>
  <si>
    <t>ISAURA MARGARITA MARQUEZ ALARCON</t>
  </si>
  <si>
    <t>VERONICA ANDREA JARAMILLO VELEZ</t>
  </si>
  <si>
    <t>GINA TACAN</t>
  </si>
  <si>
    <t>JEFERSON MARTINEZ PUCHE</t>
  </si>
  <si>
    <t>CRISTIAN DAVID RAMIREZ CARMONA</t>
  </si>
  <si>
    <t>DARLA E. CRUZ</t>
  </si>
  <si>
    <t>NATHALIA CASTAÐEDA</t>
  </si>
  <si>
    <t>ANDREA DEL PILAR GAMARRA ORDOÐEZ</t>
  </si>
  <si>
    <t>GRACE GUTIERREZ MORAN</t>
  </si>
  <si>
    <t>ZULAY KATERINE QUINTERO RANGEL</t>
  </si>
  <si>
    <t>CARMEN CECILIA SUAREZ</t>
  </si>
  <si>
    <t>LUISA FERNANDA MESA GONZALEZ</t>
  </si>
  <si>
    <t>ANNY YESENIA GOMEZ MONTAÐO</t>
  </si>
  <si>
    <t>KELLY PAOLA BLANCO ORTIZ</t>
  </si>
  <si>
    <t>BARRANCABERMEJA</t>
  </si>
  <si>
    <t>YORDY FABIAN TOSCANO RAMOS</t>
  </si>
  <si>
    <t>LUZ FDA GONZALEZ</t>
  </si>
  <si>
    <t>OLGA BEATRIZ RUBIANO C</t>
  </si>
  <si>
    <t>GREIS PAOLA CERVANTSE MEZA</t>
  </si>
  <si>
    <t>NINI JOHANA HERRERA GOMEZ</t>
  </si>
  <si>
    <t>PIÐEROS MORENO DINA STEFANY</t>
  </si>
  <si>
    <t>CASTRILLON RUIZ JUAN DAVID</t>
  </si>
  <si>
    <t>KAREN CRISTANCHO</t>
  </si>
  <si>
    <t>JENIFER LUISA ANDRADE</t>
  </si>
  <si>
    <t>CALI CAÑAS GORDAS</t>
  </si>
  <si>
    <t>SARA GARCIA</t>
  </si>
  <si>
    <t>GLORIA ADELAIDA BEDOYA OCAMPO</t>
  </si>
  <si>
    <t>LAUREN ROJAS</t>
  </si>
  <si>
    <t>HARRY W. RODRIGUEZ A.</t>
  </si>
  <si>
    <t>MARIA ANGELICA MONTERROSA HERNANDEZ</t>
  </si>
  <si>
    <t>NATALIA ESPERANZA GOMEZ BARRERA</t>
  </si>
  <si>
    <t>YAMILE SALAZAR CARVAJAL</t>
  </si>
  <si>
    <t>ROSA YINETH GUTIERREZ ALFONSO</t>
  </si>
  <si>
    <t>ANDREA ALEXANDRA SEVILLA GOMEZ</t>
  </si>
  <si>
    <t>YUDID ANDREA CRUZ GUTIERREZ</t>
  </si>
  <si>
    <t>KARINA RIVERA ALVIS</t>
  </si>
  <si>
    <t>ANGELICA CARVAJAL</t>
  </si>
  <si>
    <t>KHYARA SARAY BARRANTES RODRIGUEZ</t>
  </si>
  <si>
    <t>DIANA GYSLENA GONZALEZ GALVIS</t>
  </si>
  <si>
    <t>DIANA MARCELA HERNANDEZ</t>
  </si>
  <si>
    <t>JHONATHAN ALEJANDRO GONZALEZ CANTOR</t>
  </si>
  <si>
    <t>JUAN CAMILO SANCHES A</t>
  </si>
  <si>
    <t>VALLECILLA YASNO, ERIKA JOHANNA</t>
  </si>
  <si>
    <t>GARZON BERNATE, SARA ISABEL</t>
  </si>
  <si>
    <t>RODRIGUEZ CASTELLANOS, CARLOS</t>
  </si>
  <si>
    <t>DIANA CAROLINA JIMENEZ TORRES</t>
  </si>
  <si>
    <t>LAURA GORDILLO</t>
  </si>
  <si>
    <t>YINA MORA</t>
  </si>
  <si>
    <t>CAROLINA LUNA</t>
  </si>
  <si>
    <t>ANGIE JULIETH ALFARO MORA</t>
  </si>
  <si>
    <t>ANDRES MAURICIO ARIAS M.</t>
  </si>
  <si>
    <t>DANIEL MONTOYA</t>
  </si>
  <si>
    <t>LUISA HENAO</t>
  </si>
  <si>
    <t>JUAN RICARDO GALVIS</t>
  </si>
  <si>
    <t>DIANA PATRICIA FRANCO QUIROGA</t>
  </si>
  <si>
    <t>NANCY QUITIAN</t>
  </si>
  <si>
    <t>DIANA ROCIO CASTRO MOLINA</t>
  </si>
  <si>
    <t>KEIVIA YVONNE PAGOTTE ORTIZ</t>
  </si>
  <si>
    <t>ANDRES SARRIA</t>
  </si>
  <si>
    <t>JORGE VERGARA</t>
  </si>
  <si>
    <t>YULI VIVIANA BROCHERO</t>
  </si>
  <si>
    <t>LEYDI LATORRE</t>
  </si>
  <si>
    <t>JORGE EDUARDO RODRIGUEZ</t>
  </si>
  <si>
    <t>LUIS A RAMIREZ CRUZ</t>
  </si>
  <si>
    <t>CALI ALAMEDA</t>
  </si>
  <si>
    <t>ANDRES SERNA</t>
  </si>
  <si>
    <t>ANA MARIA LIZCANO</t>
  </si>
  <si>
    <t>LAURA KATHERINE CONTRERAS OSORIO</t>
  </si>
  <si>
    <t>MARIANA GOMEZ</t>
  </si>
  <si>
    <t>JACQUELINE POSADA VILA</t>
  </si>
  <si>
    <t>JENNY ALEXANDRA CASAS MONROY</t>
  </si>
  <si>
    <t>ALBERTO GUTIERREZ G</t>
  </si>
  <si>
    <t>CAMILO ANDRES CASTRILLON MURILLO</t>
  </si>
  <si>
    <t>ADRIANA CARDENAS REYES</t>
  </si>
  <si>
    <t>EVA MARIA MUÐOZ ARABIA</t>
  </si>
  <si>
    <t>Elabore una tabla dinamica por zona, resumiento cuantas cuentas y tarjetas de Credito vendieron en el mes.</t>
  </si>
  <si>
    <t>De la Hoja Base Ejecuciones Oct-17  cruce la producciòn de ventas del mes. Utilce la Formula "BUSCARV"</t>
  </si>
  <si>
    <r>
      <t>Construya la fórmula que de como resultado "</t>
    </r>
    <r>
      <rPr>
        <b/>
        <sz val="12"/>
        <rFont val="Calibri"/>
        <family val="2"/>
        <scheme val="minor"/>
      </rPr>
      <t>Aprobado</t>
    </r>
    <r>
      <rPr>
        <sz val="12"/>
        <rFont val="Calibri"/>
        <family val="2"/>
        <scheme val="minor"/>
      </rPr>
      <t>" o "</t>
    </r>
    <r>
      <rPr>
        <b/>
        <sz val="12"/>
        <rFont val="Calibri"/>
        <family val="2"/>
        <scheme val="minor"/>
      </rPr>
      <t>Negado</t>
    </r>
    <r>
      <rPr>
        <sz val="12"/>
        <rFont val="Calibri"/>
        <family val="2"/>
        <scheme val="minor"/>
      </rPr>
      <t xml:space="preserve">" el préstamo; teniendo en cuenta que se aprobará el crédito a las personas que sean mayores o iguales a 29 años y cuyo estado civil sea soltero. USANDO LAS FUNCIONES "Y" U "O", si aplica. </t>
    </r>
  </si>
  <si>
    <t>Total general</t>
  </si>
  <si>
    <t>N° Cuentas por mes</t>
  </si>
  <si>
    <t>N° Tarjetas De Crédito por mes</t>
  </si>
  <si>
    <t>VALOR HORA EXTRA</t>
  </si>
  <si>
    <t>SOLTERO</t>
  </si>
  <si>
    <t>DIVORCIADO</t>
  </si>
  <si>
    <t>(en blanco)</t>
  </si>
  <si>
    <t>Suma de N° Cuentas</t>
  </si>
  <si>
    <t>Suma de N° Tarjetas De Crédito</t>
  </si>
  <si>
    <t>zona</t>
  </si>
  <si>
    <t>Suma de Libranza (Millones)</t>
  </si>
  <si>
    <t>Suma de Compra Cartera (Millones)</t>
  </si>
  <si>
    <t>Suma de Vehículo (Millones)</t>
  </si>
  <si>
    <t>Suma de Consumo (Millones)</t>
  </si>
  <si>
    <t xml:space="preserve">porcentaje por zona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</si>
</sst>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4" formatCode="_(&quot;$&quot;\ * #,##0.00_);_(&quot;$&quot;\ * \(#,##0.00\);_(&quot;$&quot;\ 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(&quot;C$&quot;* #,##0.00_);_(&quot;C$&quot;* \(#,##0.00\);_(&quot;C$&quot;* &quot;-&quot;??_);_(@_)"/>
    <numFmt numFmtId="167" formatCode="_(&quot;$&quot;* #,##0.00_);_(&quot;$&quot;* \(#,##0.00\);_(&quot;$&quot;* &quot;-&quot;??_);_(@_)"/>
    <numFmt numFmtId="168" formatCode="[$$-2C0A]#,##0"/>
    <numFmt numFmtId="169" formatCode="0.0"/>
    <numFmt numFmtId="170" formatCode="[$$-240A]\ #,##0.00"/>
    <numFmt numFmtId="171" formatCode="[$$-240A]\ #,##0"/>
    <numFmt numFmtId="172" formatCode="_ &quot;$&quot;\ * #,##0.00_ ;_ &quot;$&quot;\ * \-#,##0.00_ ;_ &quot;$&quot;\ * &quot;-&quot;??_ ;_ @_ "/>
    <numFmt numFmtId="173" formatCode="_-* #,##0_-;\-* #,##0_-;_-* &quot;-&quot;??_-;_-@_-"/>
    <numFmt numFmtId="174" formatCode="_([$$-240A]\ * #,##0.00_);_([$$-240A]\ * \(#,##0.00\);_([$$-240A]\ * &quot;-&quot;??_);_(@_)"/>
    <numFmt numFmtId="175" formatCode="&quot;$&quot;\ #,##0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sz val="11"/>
      <color indexed="9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8"/>
      <name val="GE Inspira"/>
      <family val="2"/>
    </font>
    <font>
      <b/>
      <sz val="11"/>
      <name val="Calibri"/>
      <family val="2"/>
      <scheme val="minor"/>
    </font>
    <font>
      <b/>
      <sz val="8"/>
      <color theme="0"/>
      <name val="GE Inspira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8">
    <xf numFmtId="0" fontId="0" fillId="0" borderId="0"/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0"/>
    <xf numFmtId="0" fontId="7" fillId="3" borderId="5" applyNumberFormat="0" applyFont="0" applyAlignment="0" applyProtection="0"/>
    <xf numFmtId="0" fontId="4" fillId="0" borderId="0"/>
    <xf numFmtId="9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3" fillId="0" borderId="0"/>
    <xf numFmtId="166" fontId="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5" borderId="0" applyNumberFormat="0" applyBorder="0" applyAlignment="0" applyProtection="0"/>
    <xf numFmtId="165" fontId="2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</cellStyleXfs>
  <cellXfs count="107">
    <xf numFmtId="0" fontId="0" fillId="0" borderId="0" xfId="0"/>
    <xf numFmtId="0" fontId="8" fillId="0" borderId="0" xfId="0" applyFont="1"/>
    <xf numFmtId="0" fontId="9" fillId="0" borderId="0" xfId="0" applyNumberFormat="1" applyFont="1"/>
    <xf numFmtId="0" fontId="0" fillId="0" borderId="0" xfId="0" applyBorder="1"/>
    <xf numFmtId="0" fontId="9" fillId="0" borderId="0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1" fillId="2" borderId="1" xfId="0" applyFont="1" applyFill="1" applyBorder="1" applyAlignment="1">
      <alignment horizontal="center"/>
    </xf>
    <xf numFmtId="0" fontId="9" fillId="0" borderId="0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170" fontId="12" fillId="0" borderId="0" xfId="1" applyNumberFormat="1" applyFont="1" applyFill="1" applyBorder="1"/>
    <xf numFmtId="171" fontId="9" fillId="0" borderId="1" xfId="2" applyNumberFormat="1" applyFont="1" applyBorder="1" applyAlignment="1"/>
    <xf numFmtId="0" fontId="14" fillId="0" borderId="0" xfId="10" applyFont="1"/>
    <xf numFmtId="0" fontId="15" fillId="0" borderId="0" xfId="10" applyFont="1"/>
    <xf numFmtId="0" fontId="15" fillId="0" borderId="0" xfId="10" applyFont="1" applyBorder="1"/>
    <xf numFmtId="0" fontId="15" fillId="0" borderId="0" xfId="10" applyNumberFormat="1" applyFont="1"/>
    <xf numFmtId="0" fontId="15" fillId="0" borderId="0" xfId="10" applyNumberFormat="1" applyFont="1" applyBorder="1"/>
    <xf numFmtId="0" fontId="15" fillId="0" borderId="0" xfId="10" applyNumberFormat="1" applyFont="1" applyAlignment="1">
      <alignment horizontal="center"/>
    </xf>
    <xf numFmtId="0" fontId="13" fillId="3" borderId="5" xfId="11" applyFont="1" applyAlignment="1">
      <alignment horizontal="center"/>
    </xf>
    <xf numFmtId="168" fontId="13" fillId="3" borderId="5" xfId="11" applyNumberFormat="1" applyFont="1" applyAlignment="1">
      <alignment horizontal="center"/>
    </xf>
    <xf numFmtId="0" fontId="15" fillId="0" borderId="0" xfId="10" applyFont="1" applyAlignment="1">
      <alignment wrapText="1"/>
    </xf>
    <xf numFmtId="0" fontId="16" fillId="2" borderId="1" xfId="10" applyFont="1" applyFill="1" applyBorder="1" applyAlignment="1">
      <alignment horizontal="center" vertical="center" wrapText="1"/>
    </xf>
    <xf numFmtId="0" fontId="17" fillId="4" borderId="1" xfId="10" applyFont="1" applyFill="1" applyBorder="1" applyAlignment="1">
      <alignment horizontal="center" vertical="center" wrapText="1"/>
    </xf>
    <xf numFmtId="0" fontId="15" fillId="0" borderId="0" xfId="10" applyFont="1" applyFill="1"/>
    <xf numFmtId="0" fontId="15" fillId="0" borderId="1" xfId="10" applyFont="1" applyFill="1" applyBorder="1"/>
    <xf numFmtId="0" fontId="15" fillId="0" borderId="1" xfId="10" applyFont="1" applyFill="1" applyBorder="1" applyAlignment="1">
      <alignment horizontal="center"/>
    </xf>
    <xf numFmtId="168" fontId="15" fillId="0" borderId="1" xfId="2" applyNumberFormat="1" applyFont="1" applyFill="1" applyBorder="1" applyAlignment="1">
      <alignment horizontal="right"/>
    </xf>
    <xf numFmtId="10" fontId="15" fillId="0" borderId="1" xfId="3" applyNumberFormat="1" applyFont="1" applyFill="1" applyBorder="1" applyAlignment="1">
      <alignment horizontal="center"/>
    </xf>
    <xf numFmtId="10" fontId="15" fillId="0" borderId="0" xfId="10" applyNumberFormat="1" applyFont="1"/>
    <xf numFmtId="0" fontId="18" fillId="0" borderId="1" xfId="10" applyFont="1" applyBorder="1"/>
    <xf numFmtId="0" fontId="18" fillId="0" borderId="0" xfId="10" applyFont="1"/>
    <xf numFmtId="0" fontId="19" fillId="4" borderId="1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 vertical="center"/>
    </xf>
    <xf numFmtId="0" fontId="15" fillId="0" borderId="0" xfId="0" applyFont="1" applyBorder="1"/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/>
    </xf>
    <xf numFmtId="0" fontId="15" fillId="0" borderId="1" xfId="0" applyFont="1" applyBorder="1"/>
    <xf numFmtId="1" fontId="15" fillId="0" borderId="1" xfId="0" applyNumberFormat="1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2" xfId="0" applyFont="1" applyBorder="1"/>
    <xf numFmtId="0" fontId="16" fillId="0" borderId="3" xfId="0" applyFont="1" applyBorder="1"/>
    <xf numFmtId="0" fontId="16" fillId="0" borderId="4" xfId="0" applyFont="1" applyBorder="1"/>
    <xf numFmtId="0" fontId="18" fillId="2" borderId="1" xfId="0" applyFont="1" applyFill="1" applyBorder="1" applyAlignment="1">
      <alignment horizontal="center"/>
    </xf>
    <xf numFmtId="0" fontId="16" fillId="0" borderId="0" xfId="0" applyFont="1"/>
    <xf numFmtId="0" fontId="15" fillId="0" borderId="0" xfId="0" applyFont="1" applyAlignment="1">
      <alignment horizontal="right" vertical="top"/>
    </xf>
    <xf numFmtId="0" fontId="19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0" fontId="15" fillId="0" borderId="0" xfId="0" applyFont="1" applyFill="1" applyBorder="1"/>
    <xf numFmtId="169" fontId="15" fillId="0" borderId="0" xfId="0" applyNumberFormat="1" applyFont="1" applyFill="1" applyBorder="1"/>
    <xf numFmtId="0" fontId="16" fillId="0" borderId="0" xfId="0" applyFont="1" applyFill="1" applyBorder="1"/>
    <xf numFmtId="0" fontId="15" fillId="0" borderId="0" xfId="0" applyFont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vertical="center"/>
    </xf>
    <xf numFmtId="0" fontId="7" fillId="0" borderId="0" xfId="0" applyFont="1"/>
    <xf numFmtId="0" fontId="16" fillId="0" borderId="0" xfId="0" applyFont="1" applyAlignment="1">
      <alignment horizontal="left"/>
    </xf>
    <xf numFmtId="3" fontId="24" fillId="7" borderId="7" xfId="0" applyNumberFormat="1" applyFont="1" applyFill="1" applyBorder="1" applyAlignment="1">
      <alignment horizontal="center" vertical="center" wrapText="1"/>
    </xf>
    <xf numFmtId="0" fontId="24" fillId="7" borderId="8" xfId="0" applyFont="1" applyFill="1" applyBorder="1" applyAlignment="1">
      <alignment horizontal="center" vertical="center" wrapText="1"/>
    </xf>
    <xf numFmtId="173" fontId="25" fillId="8" borderId="7" xfId="25" applyNumberFormat="1" applyFont="1" applyFill="1" applyBorder="1" applyAlignment="1">
      <alignment horizontal="center" vertical="center" wrapText="1"/>
    </xf>
    <xf numFmtId="173" fontId="25" fillId="8" borderId="8" xfId="25" applyNumberFormat="1" applyFont="1" applyFill="1" applyBorder="1" applyAlignment="1">
      <alignment horizontal="center" vertical="center" wrapText="1"/>
    </xf>
    <xf numFmtId="173" fontId="25" fillId="8" borderId="8" xfId="0" applyNumberFormat="1" applyFont="1" applyFill="1" applyBorder="1" applyAlignment="1">
      <alignment horizontal="center" vertical="center" wrapText="1"/>
    </xf>
    <xf numFmtId="173" fontId="25" fillId="8" borderId="9" xfId="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73" fontId="0" fillId="0" borderId="0" xfId="25" applyNumberFormat="1" applyFont="1" applyAlignment="1">
      <alignment horizontal="center"/>
    </xf>
    <xf numFmtId="0" fontId="26" fillId="4" borderId="10" xfId="26" applyFont="1" applyFill="1" applyBorder="1" applyAlignment="1">
      <alignment horizontal="center" vertical="center" wrapText="1"/>
    </xf>
    <xf numFmtId="173" fontId="25" fillId="8" borderId="7" xfId="27" applyNumberFormat="1" applyFont="1" applyFill="1" applyBorder="1" applyAlignment="1">
      <alignment horizontal="center" vertical="center" wrapText="1"/>
    </xf>
    <xf numFmtId="173" fontId="25" fillId="8" borderId="8" xfId="27" applyNumberFormat="1" applyFont="1" applyFill="1" applyBorder="1" applyAlignment="1">
      <alignment horizontal="center" vertical="center" wrapText="1"/>
    </xf>
    <xf numFmtId="173" fontId="25" fillId="8" borderId="8" xfId="26" applyNumberFormat="1" applyFont="1" applyFill="1" applyBorder="1" applyAlignment="1">
      <alignment horizontal="center" vertical="center" wrapText="1"/>
    </xf>
    <xf numFmtId="173" fontId="25" fillId="8" borderId="9" xfId="26" applyNumberFormat="1" applyFont="1" applyFill="1" applyBorder="1" applyAlignment="1">
      <alignment horizontal="center" vertical="center" wrapText="1"/>
    </xf>
    <xf numFmtId="0" fontId="1" fillId="0" borderId="0" xfId="26"/>
    <xf numFmtId="0" fontId="1" fillId="0" borderId="0" xfId="26" applyAlignment="1">
      <alignment horizontal="center"/>
    </xf>
    <xf numFmtId="173" fontId="0" fillId="0" borderId="0" xfId="27" applyNumberFormat="1" applyFont="1" applyAlignment="1">
      <alignment horizontal="center"/>
    </xf>
    <xf numFmtId="173" fontId="22" fillId="0" borderId="0" xfId="26" applyNumberFormat="1" applyFont="1"/>
    <xf numFmtId="0" fontId="0" fillId="0" borderId="0" xfId="0" applyNumberFormat="1"/>
    <xf numFmtId="0" fontId="0" fillId="0" borderId="0" xfId="0" pivotButton="1" applyAlignment="1">
      <alignment horizontal="center"/>
    </xf>
    <xf numFmtId="9" fontId="18" fillId="0" borderId="1" xfId="3" applyFont="1" applyBorder="1" applyAlignment="1">
      <alignment horizontal="center"/>
    </xf>
    <xf numFmtId="166" fontId="18" fillId="0" borderId="1" xfId="1" applyFont="1" applyBorder="1" applyAlignment="1">
      <alignment horizontal="center"/>
    </xf>
    <xf numFmtId="174" fontId="18" fillId="0" borderId="1" xfId="1" applyNumberFormat="1" applyFont="1" applyBorder="1" applyAlignment="1">
      <alignment horizontal="center"/>
    </xf>
    <xf numFmtId="173" fontId="25" fillId="8" borderId="11" xfId="27" applyNumberFormat="1" applyFont="1" applyFill="1" applyBorder="1" applyAlignment="1">
      <alignment horizontal="center" vertical="center" wrapText="1"/>
    </xf>
    <xf numFmtId="173" fontId="25" fillId="8" borderId="6" xfId="27" applyNumberFormat="1" applyFont="1" applyFill="1" applyBorder="1" applyAlignment="1">
      <alignment horizontal="center" vertical="center" wrapText="1"/>
    </xf>
    <xf numFmtId="173" fontId="25" fillId="8" borderId="6" xfId="26" applyNumberFormat="1" applyFont="1" applyFill="1" applyBorder="1" applyAlignment="1">
      <alignment horizontal="center" vertical="center" wrapText="1"/>
    </xf>
    <xf numFmtId="173" fontId="25" fillId="8" borderId="12" xfId="26" applyNumberFormat="1" applyFont="1" applyFill="1" applyBorder="1" applyAlignment="1">
      <alignment horizontal="center" vertical="center" wrapText="1"/>
    </xf>
    <xf numFmtId="173" fontId="7" fillId="0" borderId="0" xfId="27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75" fontId="0" fillId="0" borderId="0" xfId="0" applyNumberFormat="1"/>
    <xf numFmtId="1" fontId="0" fillId="0" borderId="0" xfId="0" applyNumberFormat="1"/>
    <xf numFmtId="0" fontId="27" fillId="10" borderId="13" xfId="0" applyNumberFormat="1" applyFont="1" applyFill="1" applyBorder="1"/>
    <xf numFmtId="9" fontId="15" fillId="0" borderId="0" xfId="3" applyFont="1" applyFill="1" applyBorder="1"/>
    <xf numFmtId="9" fontId="15" fillId="0" borderId="0" xfId="0" applyNumberFormat="1" applyFont="1" applyFill="1" applyBorder="1"/>
    <xf numFmtId="0" fontId="15" fillId="0" borderId="0" xfId="0" applyFont="1" applyFill="1" applyBorder="1" applyAlignment="1">
      <alignment horizontal="center"/>
    </xf>
    <xf numFmtId="0" fontId="15" fillId="9" borderId="0" xfId="0" applyFont="1" applyFill="1" applyAlignment="1">
      <alignment horizontal="justify" vertical="center"/>
    </xf>
    <xf numFmtId="0" fontId="15" fillId="0" borderId="0" xfId="0" applyFont="1" applyAlignment="1">
      <alignment horizontal="justify" vertical="center"/>
    </xf>
    <xf numFmtId="0" fontId="23" fillId="4" borderId="0" xfId="0" applyFont="1" applyFill="1" applyBorder="1" applyAlignment="1">
      <alignment horizontal="center"/>
    </xf>
    <xf numFmtId="0" fontId="22" fillId="6" borderId="6" xfId="0" applyFont="1" applyFill="1" applyBorder="1" applyAlignment="1">
      <alignment horizontal="center"/>
    </xf>
    <xf numFmtId="0" fontId="15" fillId="0" borderId="0" xfId="0" applyFont="1" applyBorder="1" applyAlignment="1">
      <alignment horizontal="justify" vertical="center" wrapText="1"/>
    </xf>
    <xf numFmtId="0" fontId="15" fillId="0" borderId="0" xfId="0" applyFont="1" applyBorder="1" applyAlignment="1">
      <alignment horizontal="justify" vertical="center"/>
    </xf>
    <xf numFmtId="0" fontId="9" fillId="0" borderId="0" xfId="0" applyFont="1" applyAlignment="1">
      <alignment horizontal="justify" vertical="center"/>
    </xf>
    <xf numFmtId="10" fontId="28" fillId="0" borderId="1" xfId="3" applyNumberFormat="1" applyFont="1" applyFill="1" applyBorder="1" applyAlignment="1">
      <alignment horizontal="center"/>
    </xf>
  </cellXfs>
  <cellStyles count="28">
    <cellStyle name="20% - Énfasis1 2" xfId="24"/>
    <cellStyle name="Millares" xfId="25" builtinId="3"/>
    <cellStyle name="Millares 2" xfId="27"/>
    <cellStyle name="Moneda" xfId="1" builtinId="4"/>
    <cellStyle name="Moneda 2" xfId="5"/>
    <cellStyle name="Moneda 3" xfId="8"/>
    <cellStyle name="Moneda 4" xfId="14"/>
    <cellStyle name="Moneda 4 2" xfId="19"/>
    <cellStyle name="Moneda 5" xfId="21"/>
    <cellStyle name="Moneda_Ejemplo (y) (o) anidados" xfId="2"/>
    <cellStyle name="Normal" xfId="0" builtinId="0"/>
    <cellStyle name="Normal 2" xfId="4"/>
    <cellStyle name="Normal 2 2" xfId="16"/>
    <cellStyle name="Normal 3" xfId="7"/>
    <cellStyle name="Normal 3 2" xfId="12"/>
    <cellStyle name="Normal 3 2 2" xfId="20"/>
    <cellStyle name="Normal 4" xfId="10"/>
    <cellStyle name="Normal 4 2" xfId="15"/>
    <cellStyle name="Normal 5" xfId="18"/>
    <cellStyle name="Normal 6" xfId="23"/>
    <cellStyle name="Normal 7" xfId="26"/>
    <cellStyle name="Notas 2" xfId="11"/>
    <cellStyle name="Porcentaje" xfId="3" builtinId="5"/>
    <cellStyle name="Porcentaje 2" xfId="6"/>
    <cellStyle name="Porcentaje 2 2" xfId="17"/>
    <cellStyle name="Porcentaje 3" xfId="9"/>
    <cellStyle name="Porcentaje 3 2" xfId="13"/>
    <cellStyle name="Porcentaje 4" xfId="22"/>
  </cellStyles>
  <dxfs count="23"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_-;\-* #,##0_-;_-* &quot;-&quot;??_-;_-@_-"/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3" formatCode="_-* #,##0_-;\-* #,##0_-;_-* &quot;-&quot;??_-;_-@_-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[Prueba_Intermedio_Basico (2).xlsm]Punto # 1,!Tabla dinámica5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'Punto # 1,'!$X$39</c:f>
              <c:strCache>
                <c:ptCount val="1"/>
                <c:pt idx="0">
                  <c:v>Suma de Consumo (Millones)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'Punto # 1,'!$W$40:$W$49</c:f>
              <c:strCache>
                <c:ptCount val="9"/>
                <c:pt idx="0">
                  <c:v>9001</c:v>
                </c:pt>
                <c:pt idx="1">
                  <c:v>9002</c:v>
                </c:pt>
                <c:pt idx="2">
                  <c:v>9003</c:v>
                </c:pt>
                <c:pt idx="3">
                  <c:v>9004</c:v>
                </c:pt>
                <c:pt idx="4">
                  <c:v>9005</c:v>
                </c:pt>
                <c:pt idx="5">
                  <c:v>9006</c:v>
                </c:pt>
                <c:pt idx="6">
                  <c:v>9007</c:v>
                </c:pt>
                <c:pt idx="7">
                  <c:v>9008</c:v>
                </c:pt>
                <c:pt idx="8">
                  <c:v>9009</c:v>
                </c:pt>
              </c:strCache>
            </c:strRef>
          </c:cat>
          <c:val>
            <c:numRef>
              <c:f>'Punto # 1,'!$X$40:$X$49</c:f>
              <c:numCache>
                <c:formatCode>"$"\ #,##0</c:formatCode>
                <c:ptCount val="9"/>
                <c:pt idx="0">
                  <c:v>4364486905.2099991</c:v>
                </c:pt>
                <c:pt idx="1">
                  <c:v>3511980464.8699999</c:v>
                </c:pt>
                <c:pt idx="2">
                  <c:v>3346761906.4200001</c:v>
                </c:pt>
                <c:pt idx="3">
                  <c:v>4133715455.21</c:v>
                </c:pt>
                <c:pt idx="4">
                  <c:v>3975800743.8900003</c:v>
                </c:pt>
                <c:pt idx="5">
                  <c:v>3173224696.8000002</c:v>
                </c:pt>
                <c:pt idx="6">
                  <c:v>3438987670.25</c:v>
                </c:pt>
                <c:pt idx="7">
                  <c:v>2660869279.9900002</c:v>
                </c:pt>
                <c:pt idx="8">
                  <c:v>3058762042.3200002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C-43E4-8CF2-D4F92111D784}"/>
            </c:ext>
          </c:extLst>
        </c:ser>
        <c:ser>
          <c:idx val="1"/>
          <c:order val="1"/>
          <c:tx>
            <c:strRef>
              <c:f>'Punto # 1,'!$Y$39</c:f>
              <c:strCache>
                <c:ptCount val="1"/>
                <c:pt idx="0">
                  <c:v>Suma de Libranza (Millones)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'Punto # 1,'!$W$40:$W$49</c:f>
              <c:strCache>
                <c:ptCount val="9"/>
                <c:pt idx="0">
                  <c:v>9001</c:v>
                </c:pt>
                <c:pt idx="1">
                  <c:v>9002</c:v>
                </c:pt>
                <c:pt idx="2">
                  <c:v>9003</c:v>
                </c:pt>
                <c:pt idx="3">
                  <c:v>9004</c:v>
                </c:pt>
                <c:pt idx="4">
                  <c:v>9005</c:v>
                </c:pt>
                <c:pt idx="5">
                  <c:v>9006</c:v>
                </c:pt>
                <c:pt idx="6">
                  <c:v>9007</c:v>
                </c:pt>
                <c:pt idx="7">
                  <c:v>9008</c:v>
                </c:pt>
                <c:pt idx="8">
                  <c:v>9009</c:v>
                </c:pt>
              </c:strCache>
            </c:strRef>
          </c:cat>
          <c:val>
            <c:numRef>
              <c:f>'Punto # 1,'!$Y$40:$Y$49</c:f>
              <c:numCache>
                <c:formatCode>"$"\ #,##0</c:formatCode>
                <c:ptCount val="9"/>
                <c:pt idx="0">
                  <c:v>1129036575.1500001</c:v>
                </c:pt>
                <c:pt idx="1">
                  <c:v>775936378.56999993</c:v>
                </c:pt>
                <c:pt idx="2">
                  <c:v>768433436.54999995</c:v>
                </c:pt>
                <c:pt idx="3">
                  <c:v>637232489.56999993</c:v>
                </c:pt>
                <c:pt idx="4">
                  <c:v>608907099.4799999</c:v>
                </c:pt>
                <c:pt idx="5">
                  <c:v>529592374.23000002</c:v>
                </c:pt>
                <c:pt idx="6">
                  <c:v>819294712.56999981</c:v>
                </c:pt>
                <c:pt idx="7">
                  <c:v>841547031.35000002</c:v>
                </c:pt>
                <c:pt idx="8">
                  <c:v>615697224.36000001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DC-43E4-8CF2-D4F92111D784}"/>
            </c:ext>
          </c:extLst>
        </c:ser>
        <c:ser>
          <c:idx val="2"/>
          <c:order val="2"/>
          <c:tx>
            <c:strRef>
              <c:f>'Punto # 1,'!$Z$39</c:f>
              <c:strCache>
                <c:ptCount val="1"/>
                <c:pt idx="0">
                  <c:v>Suma de Compra Cartera (Millones)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'Punto # 1,'!$W$40:$W$49</c:f>
              <c:strCache>
                <c:ptCount val="9"/>
                <c:pt idx="0">
                  <c:v>9001</c:v>
                </c:pt>
                <c:pt idx="1">
                  <c:v>9002</c:v>
                </c:pt>
                <c:pt idx="2">
                  <c:v>9003</c:v>
                </c:pt>
                <c:pt idx="3">
                  <c:v>9004</c:v>
                </c:pt>
                <c:pt idx="4">
                  <c:v>9005</c:v>
                </c:pt>
                <c:pt idx="5">
                  <c:v>9006</c:v>
                </c:pt>
                <c:pt idx="6">
                  <c:v>9007</c:v>
                </c:pt>
                <c:pt idx="7">
                  <c:v>9008</c:v>
                </c:pt>
                <c:pt idx="8">
                  <c:v>9009</c:v>
                </c:pt>
              </c:strCache>
            </c:strRef>
          </c:cat>
          <c:val>
            <c:numRef>
              <c:f>'Punto # 1,'!$Z$40:$Z$49</c:f>
              <c:numCache>
                <c:formatCode>"$"\ #,##0</c:formatCode>
                <c:ptCount val="9"/>
                <c:pt idx="0">
                  <c:v>3867370133</c:v>
                </c:pt>
                <c:pt idx="1">
                  <c:v>2933387584</c:v>
                </c:pt>
                <c:pt idx="2">
                  <c:v>3076258104</c:v>
                </c:pt>
                <c:pt idx="3">
                  <c:v>3379184439</c:v>
                </c:pt>
                <c:pt idx="4">
                  <c:v>3358546566</c:v>
                </c:pt>
                <c:pt idx="5">
                  <c:v>3120073619</c:v>
                </c:pt>
                <c:pt idx="6">
                  <c:v>2964333139</c:v>
                </c:pt>
                <c:pt idx="7">
                  <c:v>2785262643</c:v>
                </c:pt>
                <c:pt idx="8">
                  <c:v>2567580574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C-43E4-8CF2-D4F92111D784}"/>
            </c:ext>
          </c:extLst>
        </c:ser>
        <c:ser>
          <c:idx val="3"/>
          <c:order val="3"/>
          <c:tx>
            <c:strRef>
              <c:f>'Punto # 1,'!$AA$39</c:f>
              <c:strCache>
                <c:ptCount val="1"/>
                <c:pt idx="0">
                  <c:v>Suma de Vehículo (Millones)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'Punto # 1,'!$W$40:$W$49</c:f>
              <c:strCache>
                <c:ptCount val="9"/>
                <c:pt idx="0">
                  <c:v>9001</c:v>
                </c:pt>
                <c:pt idx="1">
                  <c:v>9002</c:v>
                </c:pt>
                <c:pt idx="2">
                  <c:v>9003</c:v>
                </c:pt>
                <c:pt idx="3">
                  <c:v>9004</c:v>
                </c:pt>
                <c:pt idx="4">
                  <c:v>9005</c:v>
                </c:pt>
                <c:pt idx="5">
                  <c:v>9006</c:v>
                </c:pt>
                <c:pt idx="6">
                  <c:v>9007</c:v>
                </c:pt>
                <c:pt idx="7">
                  <c:v>9008</c:v>
                </c:pt>
                <c:pt idx="8">
                  <c:v>9009</c:v>
                </c:pt>
              </c:strCache>
            </c:strRef>
          </c:cat>
          <c:val>
            <c:numRef>
              <c:f>'Punto # 1,'!$AA$40:$AA$49</c:f>
              <c:numCache>
                <c:formatCode>0</c:formatCode>
                <c:ptCount val="9"/>
                <c:pt idx="0">
                  <c:v>32616000</c:v>
                </c:pt>
                <c:pt idx="1">
                  <c:v>31592000</c:v>
                </c:pt>
                <c:pt idx="2">
                  <c:v>80000000</c:v>
                </c:pt>
                <c:pt idx="3">
                  <c:v>67700000</c:v>
                </c:pt>
                <c:pt idx="4">
                  <c:v>30000000</c:v>
                </c:pt>
                <c:pt idx="5">
                  <c:v>113090000</c:v>
                </c:pt>
                <c:pt idx="6">
                  <c:v>151591000</c:v>
                </c:pt>
                <c:pt idx="7">
                  <c:v>52800000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DC-43E4-8CF2-D4F92111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42681912"/>
        <c:axId val="442694848"/>
      </c:barChart>
      <c:catAx>
        <c:axId val="442681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42694848"/>
        <c:crosses val="autoZero"/>
        <c:auto val="1"/>
        <c:lblAlgn val="ctr"/>
        <c:lblOffset val="100"/>
        <c:noMultiLvlLbl val="0"/>
      </c:catAx>
      <c:valAx>
        <c:axId val="44269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4268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231321</xdr:colOff>
      <xdr:row>50</xdr:row>
      <xdr:rowOff>118381</xdr:rowOff>
    </xdr:from>
    <xdr:to>
      <xdr:col>25</xdr:col>
      <xdr:colOff>1387928</xdr:colOff>
      <xdr:row>71</xdr:row>
      <xdr:rowOff>13607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YECTOS%20Y%20PRODUCTIVIDAD\Pruebas%20Excel\Prueba%20de%20Excel%2030112015%20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lider%20S&#225;nchez\Excel\Compuclub\EJERCICIO%20MACR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lider%20S&#225;nchez\Excel\Buscarv_indirecto_coincidir_buscar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</sheetNames>
    <sheetDataSet>
      <sheetData sheetId="0"/>
      <sheetData sheetId="1"/>
      <sheetData sheetId="2"/>
      <sheetData sheetId="3">
        <row r="16">
          <cell r="C16">
            <v>42006</v>
          </cell>
          <cell r="D16" t="str">
            <v>MANZANA</v>
          </cell>
          <cell r="E16" t="str">
            <v>ANTONIO</v>
          </cell>
          <cell r="F16" t="str">
            <v>BOGOTÁ</v>
          </cell>
          <cell r="G16">
            <v>64</v>
          </cell>
          <cell r="H16">
            <v>776445</v>
          </cell>
        </row>
        <row r="17">
          <cell r="C17">
            <v>42007</v>
          </cell>
          <cell r="D17" t="str">
            <v>GUANABANA</v>
          </cell>
          <cell r="E17" t="str">
            <v>MARIA</v>
          </cell>
          <cell r="F17" t="str">
            <v>BOGOTÁ</v>
          </cell>
          <cell r="G17">
            <v>90</v>
          </cell>
          <cell r="H17">
            <v>545876</v>
          </cell>
        </row>
        <row r="18">
          <cell r="C18">
            <v>42007</v>
          </cell>
          <cell r="D18" t="str">
            <v>PERA</v>
          </cell>
          <cell r="E18" t="str">
            <v>ELIDER</v>
          </cell>
          <cell r="F18" t="str">
            <v>MEDELLIN</v>
          </cell>
          <cell r="G18">
            <v>69</v>
          </cell>
          <cell r="H18">
            <v>721394</v>
          </cell>
        </row>
        <row r="19">
          <cell r="C19">
            <v>42008</v>
          </cell>
          <cell r="D19" t="str">
            <v>NARANJA</v>
          </cell>
          <cell r="E19" t="str">
            <v>SOFIA</v>
          </cell>
          <cell r="F19" t="str">
            <v>CALI</v>
          </cell>
          <cell r="G19">
            <v>63</v>
          </cell>
          <cell r="H19">
            <v>683312</v>
          </cell>
        </row>
        <row r="20">
          <cell r="C20">
            <v>42008</v>
          </cell>
          <cell r="D20" t="str">
            <v>GUAYABA</v>
          </cell>
          <cell r="E20" t="str">
            <v>FRANCISCO</v>
          </cell>
          <cell r="F20" t="str">
            <v>BUCARAMANGA</v>
          </cell>
          <cell r="G20">
            <v>97</v>
          </cell>
          <cell r="H20">
            <v>958600</v>
          </cell>
        </row>
        <row r="21">
          <cell r="C21">
            <v>42009</v>
          </cell>
          <cell r="D21" t="str">
            <v>PIÑA</v>
          </cell>
          <cell r="E21" t="str">
            <v>MARIA</v>
          </cell>
          <cell r="F21" t="str">
            <v>BARRANQUILLA</v>
          </cell>
          <cell r="G21">
            <v>42</v>
          </cell>
          <cell r="H21">
            <v>674266</v>
          </cell>
        </row>
        <row r="22">
          <cell r="C22">
            <v>42009</v>
          </cell>
          <cell r="D22" t="str">
            <v>LIMON</v>
          </cell>
          <cell r="E22" t="str">
            <v>ADRIANA</v>
          </cell>
          <cell r="F22" t="str">
            <v>CALI</v>
          </cell>
          <cell r="G22">
            <v>78</v>
          </cell>
          <cell r="H22">
            <v>870365</v>
          </cell>
        </row>
        <row r="23">
          <cell r="C23">
            <v>42010</v>
          </cell>
          <cell r="D23" t="str">
            <v>GUANABANA</v>
          </cell>
          <cell r="E23" t="str">
            <v>MANUEL</v>
          </cell>
          <cell r="F23" t="str">
            <v>PEREIRA</v>
          </cell>
          <cell r="G23">
            <v>52</v>
          </cell>
          <cell r="H23">
            <v>667485</v>
          </cell>
        </row>
        <row r="24">
          <cell r="C24">
            <v>42010</v>
          </cell>
          <cell r="D24" t="str">
            <v>FEIJOA</v>
          </cell>
          <cell r="E24" t="str">
            <v>FRANCISCO</v>
          </cell>
          <cell r="F24" t="str">
            <v>BUCARAMANGA</v>
          </cell>
          <cell r="G24">
            <v>44</v>
          </cell>
          <cell r="H24">
            <v>582016</v>
          </cell>
        </row>
        <row r="25">
          <cell r="C25">
            <v>42012</v>
          </cell>
          <cell r="D25" t="str">
            <v>MANZANA</v>
          </cell>
          <cell r="E25" t="str">
            <v>CARMEN</v>
          </cell>
          <cell r="F25" t="str">
            <v>MANIZALES</v>
          </cell>
          <cell r="G25">
            <v>35</v>
          </cell>
          <cell r="H25">
            <v>454466</v>
          </cell>
        </row>
        <row r="26">
          <cell r="C26">
            <v>42012</v>
          </cell>
          <cell r="D26" t="str">
            <v>LIMON</v>
          </cell>
          <cell r="E26" t="str">
            <v>JUAN</v>
          </cell>
          <cell r="F26" t="str">
            <v>CÚCUTA</v>
          </cell>
          <cell r="G26">
            <v>46</v>
          </cell>
          <cell r="H26">
            <v>402148</v>
          </cell>
        </row>
        <row r="27">
          <cell r="C27">
            <v>42012</v>
          </cell>
          <cell r="D27" t="str">
            <v>MANGO</v>
          </cell>
          <cell r="E27" t="str">
            <v>DAVID</v>
          </cell>
          <cell r="F27" t="str">
            <v>CARTAGENA</v>
          </cell>
          <cell r="G27">
            <v>42</v>
          </cell>
          <cell r="H27">
            <v>347689</v>
          </cell>
        </row>
        <row r="28">
          <cell r="C28">
            <v>42012</v>
          </cell>
          <cell r="D28" t="str">
            <v>MORA</v>
          </cell>
          <cell r="E28" t="str">
            <v>RODOLFO</v>
          </cell>
          <cell r="F28" t="str">
            <v>SANTA MARTA</v>
          </cell>
          <cell r="G28">
            <v>36</v>
          </cell>
          <cell r="H28">
            <v>332277</v>
          </cell>
        </row>
        <row r="29">
          <cell r="C29">
            <v>42012</v>
          </cell>
          <cell r="D29" t="str">
            <v>GUAYABA</v>
          </cell>
          <cell r="E29" t="str">
            <v>EDGAR</v>
          </cell>
          <cell r="F29" t="str">
            <v>BOGOTÁ</v>
          </cell>
          <cell r="G29">
            <v>47</v>
          </cell>
          <cell r="H29">
            <v>332277</v>
          </cell>
        </row>
        <row r="30">
          <cell r="C30">
            <v>42010</v>
          </cell>
          <cell r="D30" t="str">
            <v>MANZANA</v>
          </cell>
          <cell r="E30" t="str">
            <v>ADRIANA</v>
          </cell>
          <cell r="F30" t="str">
            <v>MEDELLIN</v>
          </cell>
          <cell r="G30">
            <v>59</v>
          </cell>
          <cell r="H30">
            <v>314334</v>
          </cell>
        </row>
        <row r="31">
          <cell r="C31">
            <v>42011</v>
          </cell>
          <cell r="D31" t="str">
            <v>PERA</v>
          </cell>
          <cell r="E31" t="str">
            <v>ANTONIO</v>
          </cell>
          <cell r="F31" t="str">
            <v>CALI</v>
          </cell>
          <cell r="G31">
            <v>63</v>
          </cell>
          <cell r="H31">
            <v>299930</v>
          </cell>
        </row>
        <row r="32">
          <cell r="C32">
            <v>42012</v>
          </cell>
          <cell r="D32" t="str">
            <v>NARANJA</v>
          </cell>
          <cell r="E32" t="str">
            <v>ELIDER</v>
          </cell>
          <cell r="F32" t="str">
            <v>BARRANQUILLA</v>
          </cell>
          <cell r="G32">
            <v>72</v>
          </cell>
          <cell r="H32">
            <v>297409</v>
          </cell>
        </row>
        <row r="33">
          <cell r="C33">
            <v>42020</v>
          </cell>
          <cell r="D33" t="str">
            <v>PIÑA</v>
          </cell>
          <cell r="E33" t="str">
            <v>SOFIA</v>
          </cell>
          <cell r="F33" t="str">
            <v>PEREIRA</v>
          </cell>
          <cell r="G33">
            <v>59</v>
          </cell>
          <cell r="H33">
            <v>294843</v>
          </cell>
        </row>
        <row r="34">
          <cell r="C34">
            <v>42021</v>
          </cell>
          <cell r="D34" t="str">
            <v>GUANABANA</v>
          </cell>
          <cell r="E34" t="str">
            <v>MARIA</v>
          </cell>
          <cell r="F34" t="str">
            <v>BUCARAMANGA</v>
          </cell>
          <cell r="G34">
            <v>72</v>
          </cell>
          <cell r="H34">
            <v>290373</v>
          </cell>
        </row>
        <row r="35">
          <cell r="C35">
            <v>42022</v>
          </cell>
          <cell r="D35" t="str">
            <v>FEIJOA</v>
          </cell>
          <cell r="E35" t="str">
            <v>MANUEL</v>
          </cell>
          <cell r="F35" t="str">
            <v>MANIZALES</v>
          </cell>
          <cell r="G35">
            <v>55</v>
          </cell>
          <cell r="H35">
            <v>281707</v>
          </cell>
        </row>
        <row r="36">
          <cell r="C36">
            <v>42022</v>
          </cell>
          <cell r="D36" t="str">
            <v>LULO</v>
          </cell>
          <cell r="E36" t="str">
            <v>FRANCISCO</v>
          </cell>
          <cell r="F36" t="str">
            <v>CÚCUTA</v>
          </cell>
          <cell r="G36">
            <v>70</v>
          </cell>
          <cell r="H36">
            <v>279371</v>
          </cell>
        </row>
        <row r="37">
          <cell r="C37">
            <v>42022</v>
          </cell>
          <cell r="D37" t="str">
            <v>LIMON</v>
          </cell>
          <cell r="E37" t="str">
            <v>FRANCISCO</v>
          </cell>
          <cell r="F37" t="str">
            <v>CARTAGENA</v>
          </cell>
          <cell r="G37">
            <v>62</v>
          </cell>
          <cell r="H37">
            <v>274540</v>
          </cell>
        </row>
        <row r="38">
          <cell r="C38">
            <v>42022</v>
          </cell>
          <cell r="D38" t="str">
            <v>MANGO</v>
          </cell>
          <cell r="E38" t="str">
            <v>CARMEN</v>
          </cell>
          <cell r="F38" t="str">
            <v>SANTA MARTA</v>
          </cell>
          <cell r="G38">
            <v>52</v>
          </cell>
          <cell r="H38">
            <v>272170</v>
          </cell>
        </row>
        <row r="39">
          <cell r="C39">
            <v>42011</v>
          </cell>
          <cell r="D39" t="str">
            <v>MORA</v>
          </cell>
          <cell r="E39" t="str">
            <v>JUAN</v>
          </cell>
          <cell r="F39" t="str">
            <v>BOGOTÁ</v>
          </cell>
          <cell r="G39">
            <v>48</v>
          </cell>
          <cell r="H39">
            <v>268297</v>
          </cell>
        </row>
        <row r="40">
          <cell r="C40">
            <v>42011</v>
          </cell>
          <cell r="D40" t="str">
            <v>GUAYABA</v>
          </cell>
          <cell r="E40" t="str">
            <v>DAVID</v>
          </cell>
          <cell r="F40" t="str">
            <v>MEDELLIN</v>
          </cell>
          <cell r="G40">
            <v>53</v>
          </cell>
          <cell r="H40">
            <v>264794</v>
          </cell>
        </row>
        <row r="41">
          <cell r="C41">
            <v>42011</v>
          </cell>
          <cell r="D41" t="str">
            <v>MANGO</v>
          </cell>
          <cell r="E41" t="str">
            <v>RODOLFO</v>
          </cell>
          <cell r="F41" t="str">
            <v>CÚCUTA</v>
          </cell>
          <cell r="G41">
            <v>58</v>
          </cell>
          <cell r="H41">
            <v>264315</v>
          </cell>
        </row>
        <row r="42">
          <cell r="C42">
            <v>42021</v>
          </cell>
          <cell r="D42" t="str">
            <v>NARANJA</v>
          </cell>
          <cell r="E42" t="str">
            <v>EDGAR</v>
          </cell>
          <cell r="F42" t="str">
            <v>PEREIRA</v>
          </cell>
          <cell r="G42">
            <v>75</v>
          </cell>
          <cell r="H42">
            <v>262059</v>
          </cell>
        </row>
        <row r="43">
          <cell r="C43">
            <v>42011</v>
          </cell>
          <cell r="D43" t="str">
            <v>NARANJA</v>
          </cell>
          <cell r="E43" t="str">
            <v>ADRIANA</v>
          </cell>
          <cell r="F43" t="str">
            <v>PEREIRA</v>
          </cell>
          <cell r="G43">
            <v>42</v>
          </cell>
          <cell r="H43">
            <v>256706</v>
          </cell>
        </row>
        <row r="44">
          <cell r="C44">
            <v>42011</v>
          </cell>
          <cell r="D44" t="str">
            <v>PIÑA</v>
          </cell>
          <cell r="E44" t="str">
            <v>ANTONIO</v>
          </cell>
          <cell r="F44" t="str">
            <v>BUCARAMANGA</v>
          </cell>
          <cell r="G44">
            <v>59</v>
          </cell>
          <cell r="H44">
            <v>252992</v>
          </cell>
        </row>
        <row r="45">
          <cell r="C45">
            <v>42011</v>
          </cell>
          <cell r="D45" t="str">
            <v>GUANABANA</v>
          </cell>
          <cell r="E45" t="str">
            <v>ELIDER</v>
          </cell>
          <cell r="F45" t="str">
            <v>MANIZALES</v>
          </cell>
          <cell r="G45">
            <v>70</v>
          </cell>
          <cell r="H45">
            <v>251417</v>
          </cell>
        </row>
        <row r="46">
          <cell r="C46">
            <v>42011</v>
          </cell>
          <cell r="D46" t="str">
            <v>FEIJOA</v>
          </cell>
          <cell r="E46" t="str">
            <v>FRANCISCO</v>
          </cell>
          <cell r="F46" t="str">
            <v>CÚCUTA</v>
          </cell>
          <cell r="G46">
            <v>74</v>
          </cell>
          <cell r="H46">
            <v>251119</v>
          </cell>
        </row>
        <row r="47">
          <cell r="C47">
            <v>42011</v>
          </cell>
          <cell r="D47" t="str">
            <v>LULO</v>
          </cell>
          <cell r="E47" t="str">
            <v>CARMEN</v>
          </cell>
          <cell r="F47" t="str">
            <v>CARTAGENA</v>
          </cell>
          <cell r="G47">
            <v>66</v>
          </cell>
          <cell r="H47">
            <v>245476</v>
          </cell>
        </row>
        <row r="48">
          <cell r="C48">
            <v>42030</v>
          </cell>
          <cell r="D48" t="str">
            <v>LIMON</v>
          </cell>
          <cell r="E48" t="str">
            <v>JUAN</v>
          </cell>
          <cell r="F48" t="str">
            <v>SANTA MARTA</v>
          </cell>
          <cell r="G48">
            <v>53</v>
          </cell>
          <cell r="H48">
            <v>244106</v>
          </cell>
        </row>
        <row r="49">
          <cell r="C49">
            <v>42031</v>
          </cell>
          <cell r="D49" t="str">
            <v>MANGO</v>
          </cell>
          <cell r="E49" t="str">
            <v>DAVID</v>
          </cell>
          <cell r="F49" t="str">
            <v>BOGOTÁ</v>
          </cell>
          <cell r="G49">
            <v>67</v>
          </cell>
          <cell r="H49">
            <v>241532</v>
          </cell>
        </row>
        <row r="50">
          <cell r="C50">
            <v>42032</v>
          </cell>
          <cell r="D50" t="str">
            <v>MORA</v>
          </cell>
          <cell r="E50" t="str">
            <v>RODOLFO</v>
          </cell>
          <cell r="F50" t="str">
            <v>MEDELLIN</v>
          </cell>
          <cell r="G50">
            <v>68</v>
          </cell>
          <cell r="H50">
            <v>236786</v>
          </cell>
        </row>
        <row r="51">
          <cell r="C51">
            <v>42038</v>
          </cell>
          <cell r="D51" t="str">
            <v>GUAYABA</v>
          </cell>
          <cell r="E51" t="str">
            <v>EDGAR</v>
          </cell>
          <cell r="F51" t="str">
            <v>CALI</v>
          </cell>
          <cell r="G51">
            <v>49</v>
          </cell>
          <cell r="H51">
            <v>235174</v>
          </cell>
        </row>
        <row r="52">
          <cell r="C52">
            <v>42022</v>
          </cell>
          <cell r="D52" t="str">
            <v>MANZANA</v>
          </cell>
          <cell r="E52" t="str">
            <v>ADRIANA</v>
          </cell>
          <cell r="F52" t="str">
            <v>BARRANQUILLA</v>
          </cell>
          <cell r="G52">
            <v>57</v>
          </cell>
          <cell r="H52">
            <v>231373</v>
          </cell>
        </row>
        <row r="53">
          <cell r="C53">
            <v>42031</v>
          </cell>
          <cell r="D53" t="str">
            <v>PERA</v>
          </cell>
          <cell r="E53" t="str">
            <v>ANTONIO</v>
          </cell>
          <cell r="F53" t="str">
            <v>PEREIRA</v>
          </cell>
          <cell r="G53">
            <v>72</v>
          </cell>
          <cell r="H53">
            <v>230759</v>
          </cell>
        </row>
        <row r="54">
          <cell r="C54">
            <v>42032</v>
          </cell>
          <cell r="D54" t="str">
            <v>NARANJA</v>
          </cell>
          <cell r="E54" t="str">
            <v>ELIDER</v>
          </cell>
          <cell r="F54" t="str">
            <v>BUCARAMANGA</v>
          </cell>
          <cell r="G54">
            <v>52</v>
          </cell>
          <cell r="H54">
            <v>229654</v>
          </cell>
        </row>
        <row r="55">
          <cell r="C55">
            <v>42042</v>
          </cell>
          <cell r="D55" t="str">
            <v>PIÑA</v>
          </cell>
          <cell r="E55" t="str">
            <v>SOFIA</v>
          </cell>
          <cell r="F55" t="str">
            <v>MANIZALES</v>
          </cell>
          <cell r="G55">
            <v>74</v>
          </cell>
          <cell r="H55">
            <v>227763</v>
          </cell>
        </row>
        <row r="56">
          <cell r="C56">
            <v>42042</v>
          </cell>
          <cell r="D56" t="str">
            <v>GUANABANA</v>
          </cell>
          <cell r="E56" t="str">
            <v>MARIA</v>
          </cell>
          <cell r="F56" t="str">
            <v>CÚCUTA</v>
          </cell>
          <cell r="G56">
            <v>68</v>
          </cell>
          <cell r="H56">
            <v>218970</v>
          </cell>
        </row>
        <row r="57">
          <cell r="C57">
            <v>42042</v>
          </cell>
          <cell r="D57" t="str">
            <v>FEIJOA</v>
          </cell>
          <cell r="E57" t="str">
            <v>MANUEL</v>
          </cell>
          <cell r="F57" t="str">
            <v>CARTAGENA</v>
          </cell>
          <cell r="G57">
            <v>53</v>
          </cell>
          <cell r="H57">
            <v>216830</v>
          </cell>
        </row>
        <row r="58">
          <cell r="C58">
            <v>42042</v>
          </cell>
          <cell r="D58" t="str">
            <v>LULO</v>
          </cell>
          <cell r="E58" t="str">
            <v>FRANCISCO</v>
          </cell>
          <cell r="F58" t="str">
            <v>SANTA MARTA</v>
          </cell>
          <cell r="G58">
            <v>53</v>
          </cell>
          <cell r="H58">
            <v>211421</v>
          </cell>
        </row>
        <row r="59">
          <cell r="C59">
            <v>42042</v>
          </cell>
          <cell r="D59" t="str">
            <v>LIMON</v>
          </cell>
          <cell r="E59" t="str">
            <v>MANUEL</v>
          </cell>
          <cell r="F59" t="str">
            <v>BOGOTÁ</v>
          </cell>
          <cell r="G59">
            <v>35</v>
          </cell>
          <cell r="H59">
            <v>208086</v>
          </cell>
        </row>
        <row r="60">
          <cell r="C60">
            <v>42030</v>
          </cell>
          <cell r="D60" t="str">
            <v>MANGO</v>
          </cell>
          <cell r="E60" t="str">
            <v>FRANCISCO</v>
          </cell>
          <cell r="F60" t="str">
            <v>MEDELLIN</v>
          </cell>
          <cell r="G60">
            <v>47</v>
          </cell>
          <cell r="H60">
            <v>207263</v>
          </cell>
        </row>
        <row r="61">
          <cell r="C61">
            <v>42030</v>
          </cell>
          <cell r="D61" t="str">
            <v>MORA</v>
          </cell>
          <cell r="E61" t="str">
            <v>CARMEN</v>
          </cell>
          <cell r="F61" t="str">
            <v>CALI</v>
          </cell>
          <cell r="G61">
            <v>56</v>
          </cell>
          <cell r="H61">
            <v>192641</v>
          </cell>
        </row>
        <row r="62">
          <cell r="C62">
            <v>42030</v>
          </cell>
          <cell r="D62" t="str">
            <v>GUAYABA</v>
          </cell>
          <cell r="E62" t="str">
            <v>JUAN</v>
          </cell>
          <cell r="F62" t="str">
            <v>BARRANQUILLA</v>
          </cell>
          <cell r="G62">
            <v>52</v>
          </cell>
          <cell r="H62">
            <v>191034</v>
          </cell>
        </row>
        <row r="63">
          <cell r="C63">
            <v>42030</v>
          </cell>
          <cell r="D63" t="str">
            <v>MANZANA</v>
          </cell>
          <cell r="E63" t="str">
            <v>DAVID</v>
          </cell>
          <cell r="F63" t="str">
            <v>PEREIRA</v>
          </cell>
          <cell r="G63">
            <v>62</v>
          </cell>
          <cell r="H63">
            <v>184143</v>
          </cell>
        </row>
        <row r="64">
          <cell r="C64">
            <v>42030</v>
          </cell>
          <cell r="D64" t="str">
            <v>PERA</v>
          </cell>
          <cell r="E64" t="str">
            <v>RODOLFO</v>
          </cell>
          <cell r="F64" t="str">
            <v>BUCARAMANGA</v>
          </cell>
          <cell r="G64">
            <v>74</v>
          </cell>
          <cell r="H64">
            <v>179809</v>
          </cell>
        </row>
        <row r="65">
          <cell r="C65">
            <v>42052</v>
          </cell>
          <cell r="D65" t="str">
            <v>NARANJA</v>
          </cell>
          <cell r="E65" t="str">
            <v>EDGAR</v>
          </cell>
          <cell r="F65" t="str">
            <v>MANIZALES</v>
          </cell>
          <cell r="G65">
            <v>38</v>
          </cell>
          <cell r="H65">
            <v>177889</v>
          </cell>
        </row>
        <row r="66">
          <cell r="C66">
            <v>42053</v>
          </cell>
          <cell r="D66" t="str">
            <v>PIÑA</v>
          </cell>
          <cell r="E66" t="str">
            <v>ADRIANA</v>
          </cell>
          <cell r="F66" t="str">
            <v>CÚCUTA</v>
          </cell>
          <cell r="G66">
            <v>48</v>
          </cell>
          <cell r="H66">
            <v>175893</v>
          </cell>
        </row>
        <row r="67">
          <cell r="C67">
            <v>42050</v>
          </cell>
          <cell r="D67" t="str">
            <v>GUANABANA</v>
          </cell>
          <cell r="E67" t="str">
            <v>ANTONIO</v>
          </cell>
          <cell r="F67" t="str">
            <v>CARTAGENA</v>
          </cell>
          <cell r="G67">
            <v>70</v>
          </cell>
          <cell r="H67">
            <v>173342</v>
          </cell>
        </row>
        <row r="68">
          <cell r="C68">
            <v>42022</v>
          </cell>
          <cell r="D68" t="str">
            <v>FEIJOA</v>
          </cell>
          <cell r="E68" t="str">
            <v>ELIDER</v>
          </cell>
          <cell r="F68" t="str">
            <v>SANTA MARTA</v>
          </cell>
          <cell r="G68">
            <v>43</v>
          </cell>
          <cell r="H68">
            <v>165798</v>
          </cell>
        </row>
        <row r="69">
          <cell r="C69">
            <v>42052</v>
          </cell>
          <cell r="D69" t="str">
            <v>LULO</v>
          </cell>
          <cell r="E69" t="str">
            <v>SOFIA</v>
          </cell>
          <cell r="F69" t="str">
            <v>BOGOTÁ</v>
          </cell>
          <cell r="G69">
            <v>45</v>
          </cell>
          <cell r="H69">
            <v>164253</v>
          </cell>
        </row>
        <row r="70">
          <cell r="C70">
            <v>42057</v>
          </cell>
          <cell r="D70" t="str">
            <v>LIMON</v>
          </cell>
          <cell r="E70" t="str">
            <v>MARIA</v>
          </cell>
          <cell r="F70" t="str">
            <v>MEDELLIN</v>
          </cell>
          <cell r="G70">
            <v>51</v>
          </cell>
          <cell r="H70">
            <v>161200</v>
          </cell>
        </row>
        <row r="71">
          <cell r="C71">
            <v>42032</v>
          </cell>
          <cell r="D71" t="str">
            <v>GUANABANA</v>
          </cell>
          <cell r="E71" t="str">
            <v>MANUEL</v>
          </cell>
          <cell r="F71" t="str">
            <v>CALI</v>
          </cell>
          <cell r="G71">
            <v>58</v>
          </cell>
          <cell r="H71">
            <v>332277</v>
          </cell>
        </row>
        <row r="72">
          <cell r="C72">
            <v>42050</v>
          </cell>
          <cell r="D72" t="str">
            <v>FEIJOA</v>
          </cell>
          <cell r="E72" t="str">
            <v>FRANCISCO</v>
          </cell>
          <cell r="F72" t="str">
            <v>BARRANQUILLA</v>
          </cell>
          <cell r="G72">
            <v>66</v>
          </cell>
          <cell r="H72">
            <v>314334</v>
          </cell>
        </row>
        <row r="73">
          <cell r="C73">
            <v>42051</v>
          </cell>
          <cell r="D73" t="str">
            <v>LULO</v>
          </cell>
          <cell r="E73" t="str">
            <v>CARMEN</v>
          </cell>
          <cell r="F73" t="str">
            <v>PEREIRA</v>
          </cell>
          <cell r="G73">
            <v>51</v>
          </cell>
          <cell r="H73">
            <v>299930</v>
          </cell>
        </row>
        <row r="74">
          <cell r="C74">
            <v>42052</v>
          </cell>
          <cell r="D74" t="str">
            <v>LIMON</v>
          </cell>
          <cell r="E74" t="str">
            <v>JUAN</v>
          </cell>
          <cell r="F74" t="str">
            <v>BUCARAMANGA</v>
          </cell>
          <cell r="G74">
            <v>74</v>
          </cell>
          <cell r="H74">
            <v>297409</v>
          </cell>
        </row>
        <row r="75">
          <cell r="C75">
            <v>42036</v>
          </cell>
          <cell r="D75" t="str">
            <v>MANGO</v>
          </cell>
          <cell r="E75" t="str">
            <v>DAVID</v>
          </cell>
          <cell r="F75" t="str">
            <v>MANIZALES</v>
          </cell>
          <cell r="G75">
            <v>58</v>
          </cell>
          <cell r="H75">
            <v>294843</v>
          </cell>
        </row>
        <row r="76">
          <cell r="C76">
            <v>42050</v>
          </cell>
          <cell r="D76" t="str">
            <v>MORA</v>
          </cell>
          <cell r="E76" t="str">
            <v>RODOLFO</v>
          </cell>
          <cell r="F76" t="str">
            <v>CÚCUTA</v>
          </cell>
          <cell r="G76">
            <v>72</v>
          </cell>
          <cell r="H76">
            <v>290373</v>
          </cell>
        </row>
        <row r="77">
          <cell r="C77">
            <v>42020</v>
          </cell>
          <cell r="D77" t="str">
            <v>MORA</v>
          </cell>
          <cell r="E77" t="str">
            <v>EDGAR</v>
          </cell>
          <cell r="F77" t="str">
            <v>MEDELLIN</v>
          </cell>
          <cell r="G77">
            <v>54</v>
          </cell>
          <cell r="H77">
            <v>281707</v>
          </cell>
        </row>
        <row r="78">
          <cell r="C78">
            <v>42052</v>
          </cell>
          <cell r="D78" t="str">
            <v>MANZANA</v>
          </cell>
          <cell r="E78" t="str">
            <v>ADRIANA</v>
          </cell>
          <cell r="F78" t="str">
            <v>SANTA MARTA</v>
          </cell>
          <cell r="G78">
            <v>74</v>
          </cell>
          <cell r="H78">
            <v>279371</v>
          </cell>
        </row>
      </sheetData>
      <sheetData sheetId="4">
        <row r="14">
          <cell r="C14" t="str">
            <v>Brasil</v>
          </cell>
          <cell r="D14">
            <v>205304000</v>
          </cell>
        </row>
        <row r="15">
          <cell r="C15" t="str">
            <v>México</v>
          </cell>
          <cell r="D15">
            <v>121663000</v>
          </cell>
        </row>
        <row r="16">
          <cell r="C16" t="str">
            <v>Colombia</v>
          </cell>
          <cell r="D16">
            <v>48501000</v>
          </cell>
        </row>
        <row r="17">
          <cell r="C17" t="str">
            <v>Argentina</v>
          </cell>
          <cell r="D17">
            <v>43367000</v>
          </cell>
        </row>
        <row r="18">
          <cell r="C18" t="str">
            <v>Perú</v>
          </cell>
          <cell r="D18">
            <v>31324000</v>
          </cell>
        </row>
        <row r="19">
          <cell r="C19" t="str">
            <v>Venezuela</v>
          </cell>
          <cell r="D19">
            <v>30831000</v>
          </cell>
        </row>
        <row r="20">
          <cell r="C20" t="str">
            <v>Chile</v>
          </cell>
          <cell r="D20">
            <v>18102000</v>
          </cell>
        </row>
        <row r="21">
          <cell r="C21" t="str">
            <v>Guatemala</v>
          </cell>
          <cell r="D21">
            <v>16413000</v>
          </cell>
        </row>
        <row r="22">
          <cell r="C22" t="str">
            <v>Ecuador</v>
          </cell>
          <cell r="D22">
            <v>16407000</v>
          </cell>
        </row>
        <row r="23">
          <cell r="C23" t="str">
            <v>Cuba</v>
          </cell>
          <cell r="D23">
            <v>11267000</v>
          </cell>
        </row>
        <row r="24">
          <cell r="C24" t="str">
            <v>Haití</v>
          </cell>
          <cell r="D24">
            <v>11122000</v>
          </cell>
        </row>
        <row r="25">
          <cell r="C25" t="str">
            <v>Bolivia</v>
          </cell>
          <cell r="D25">
            <v>10611000</v>
          </cell>
        </row>
        <row r="26">
          <cell r="C26" t="str">
            <v>República Dominicana</v>
          </cell>
          <cell r="D26">
            <v>10029000</v>
          </cell>
        </row>
        <row r="27">
          <cell r="C27" t="str">
            <v>Honduras</v>
          </cell>
          <cell r="D27">
            <v>8661000</v>
          </cell>
        </row>
        <row r="28">
          <cell r="C28" t="str">
            <v>Paraguay</v>
          </cell>
          <cell r="D28">
            <v>7059000</v>
          </cell>
        </row>
        <row r="29">
          <cell r="C29" t="str">
            <v>Nicaragua</v>
          </cell>
          <cell r="D29">
            <v>6592000</v>
          </cell>
        </row>
        <row r="30">
          <cell r="C30" t="str">
            <v>El Salvador</v>
          </cell>
          <cell r="D30">
            <v>6490000</v>
          </cell>
        </row>
        <row r="31">
          <cell r="C31" t="str">
            <v>Costa Rica</v>
          </cell>
          <cell r="D31">
            <v>4890000</v>
          </cell>
        </row>
        <row r="32">
          <cell r="C32" t="str">
            <v>Panamá</v>
          </cell>
          <cell r="D32">
            <v>3790000</v>
          </cell>
        </row>
        <row r="33">
          <cell r="C33" t="str">
            <v>Puerto Rico</v>
          </cell>
          <cell r="D33">
            <v>3488000</v>
          </cell>
        </row>
        <row r="34">
          <cell r="C34" t="str">
            <v>Uruguay</v>
          </cell>
          <cell r="D34">
            <v>3313000</v>
          </cell>
        </row>
      </sheetData>
      <sheetData sheetId="5">
        <row r="18">
          <cell r="E18">
            <v>42627</v>
          </cell>
          <cell r="F18">
            <v>28</v>
          </cell>
          <cell r="G18">
            <v>57734740</v>
          </cell>
        </row>
        <row r="19">
          <cell r="E19">
            <v>42556</v>
          </cell>
          <cell r="F19">
            <v>15</v>
          </cell>
          <cell r="G19">
            <v>35336280</v>
          </cell>
        </row>
        <row r="20">
          <cell r="E20">
            <v>42642</v>
          </cell>
          <cell r="F20">
            <v>10</v>
          </cell>
          <cell r="G20">
            <v>31021130</v>
          </cell>
        </row>
        <row r="21">
          <cell r="E21">
            <v>42762</v>
          </cell>
          <cell r="F21">
            <v>30</v>
          </cell>
          <cell r="G21">
            <v>78702090</v>
          </cell>
        </row>
        <row r="22">
          <cell r="E22">
            <v>42438</v>
          </cell>
          <cell r="F22">
            <v>63</v>
          </cell>
          <cell r="G22">
            <v>188957601</v>
          </cell>
        </row>
        <row r="23">
          <cell r="E23">
            <v>42864</v>
          </cell>
          <cell r="F23">
            <v>315</v>
          </cell>
          <cell r="G23">
            <v>570277575</v>
          </cell>
        </row>
        <row r="24">
          <cell r="E24">
            <v>42831</v>
          </cell>
          <cell r="F24">
            <v>169</v>
          </cell>
          <cell r="G24">
            <v>382763368</v>
          </cell>
        </row>
        <row r="25">
          <cell r="E25">
            <v>42543</v>
          </cell>
          <cell r="F25">
            <v>60</v>
          </cell>
          <cell r="G25">
            <v>179193060</v>
          </cell>
        </row>
        <row r="26">
          <cell r="E26">
            <v>42831</v>
          </cell>
          <cell r="F26">
            <v>154</v>
          </cell>
          <cell r="G26">
            <v>243391302</v>
          </cell>
        </row>
        <row r="27">
          <cell r="E27">
            <v>42762</v>
          </cell>
          <cell r="F27">
            <v>82</v>
          </cell>
          <cell r="G27">
            <v>247477066</v>
          </cell>
        </row>
      </sheetData>
      <sheetData sheetId="6">
        <row r="18">
          <cell r="H18">
            <v>153876</v>
          </cell>
        </row>
        <row r="19">
          <cell r="H19">
            <v>128740</v>
          </cell>
        </row>
        <row r="20">
          <cell r="H20">
            <v>153434</v>
          </cell>
        </row>
        <row r="21">
          <cell r="D21">
            <v>244442</v>
          </cell>
          <cell r="E21">
            <v>59892</v>
          </cell>
          <cell r="F21">
            <v>208859</v>
          </cell>
          <cell r="G21">
            <v>170023</v>
          </cell>
          <cell r="H21">
            <v>31028</v>
          </cell>
          <cell r="I21">
            <v>220058</v>
          </cell>
          <cell r="J21">
            <v>58356</v>
          </cell>
          <cell r="K21">
            <v>152180</v>
          </cell>
          <cell r="L21">
            <v>115504</v>
          </cell>
          <cell r="M21">
            <v>80270</v>
          </cell>
          <cell r="N21">
            <v>170044</v>
          </cell>
          <cell r="O21">
            <v>147225</v>
          </cell>
        </row>
        <row r="22">
          <cell r="H22">
            <v>223949</v>
          </cell>
        </row>
        <row r="23">
          <cell r="H23">
            <v>215119</v>
          </cell>
        </row>
        <row r="24">
          <cell r="H24">
            <v>37190</v>
          </cell>
        </row>
      </sheetData>
      <sheetData sheetId="7"/>
      <sheetData sheetId="8">
        <row r="14">
          <cell r="D14">
            <v>934212</v>
          </cell>
          <cell r="E14">
            <v>586329</v>
          </cell>
          <cell r="F14">
            <v>587232</v>
          </cell>
          <cell r="G14">
            <v>364734</v>
          </cell>
        </row>
        <row r="15">
          <cell r="D15">
            <v>944329</v>
          </cell>
          <cell r="E15">
            <v>537974</v>
          </cell>
          <cell r="F15">
            <v>296324</v>
          </cell>
          <cell r="G15">
            <v>618239</v>
          </cell>
        </row>
        <row r="16">
          <cell r="D16">
            <v>550343</v>
          </cell>
          <cell r="E16">
            <v>991510</v>
          </cell>
          <cell r="F16">
            <v>717971</v>
          </cell>
          <cell r="G16">
            <v>682689</v>
          </cell>
        </row>
        <row r="17">
          <cell r="D17">
            <v>836848</v>
          </cell>
          <cell r="E17">
            <v>414111</v>
          </cell>
          <cell r="F17">
            <v>865956</v>
          </cell>
          <cell r="G17">
            <v>699995</v>
          </cell>
        </row>
        <row r="27">
          <cell r="D27">
            <v>922026</v>
          </cell>
          <cell r="E27">
            <v>721648</v>
          </cell>
          <cell r="F27">
            <v>928505</v>
          </cell>
          <cell r="G27">
            <v>750468</v>
          </cell>
          <cell r="H27">
            <v>620866</v>
          </cell>
          <cell r="I27">
            <v>953005</v>
          </cell>
          <cell r="J27">
            <v>594766</v>
          </cell>
          <cell r="K27">
            <v>871583</v>
          </cell>
          <cell r="L27">
            <v>926788</v>
          </cell>
          <cell r="M27">
            <v>1013098</v>
          </cell>
          <cell r="N27">
            <v>924988</v>
          </cell>
          <cell r="O27">
            <v>1119045</v>
          </cell>
        </row>
        <row r="30">
          <cell r="D30">
            <v>226664</v>
          </cell>
          <cell r="E30">
            <v>231213</v>
          </cell>
          <cell r="F30">
            <v>168035</v>
          </cell>
          <cell r="G30">
            <v>238313</v>
          </cell>
          <cell r="H30">
            <v>143729</v>
          </cell>
          <cell r="I30">
            <v>222922</v>
          </cell>
          <cell r="J30">
            <v>239967</v>
          </cell>
          <cell r="K30">
            <v>181267</v>
          </cell>
          <cell r="L30">
            <v>239703</v>
          </cell>
          <cell r="M30">
            <v>188027</v>
          </cell>
          <cell r="N30">
            <v>220793</v>
          </cell>
          <cell r="O30">
            <v>166148</v>
          </cell>
        </row>
      </sheetData>
      <sheetData sheetId="9"/>
      <sheetData sheetId="10"/>
      <sheetData sheetId="11"/>
      <sheetData sheetId="12">
        <row r="12">
          <cell r="C12" t="str">
            <v>CODIGO EMPLEADO</v>
          </cell>
          <cell r="D12" t="str">
            <v>NOMBRE</v>
          </cell>
          <cell r="E12" t="str">
            <v>SEXO</v>
          </cell>
          <cell r="F12" t="str">
            <v>CARGO</v>
          </cell>
          <cell r="G12" t="str">
            <v>DPTO</v>
          </cell>
          <cell r="H12" t="str">
            <v>CIUDAD</v>
          </cell>
          <cell r="I12" t="str">
            <v>ZONA</v>
          </cell>
          <cell r="J12" t="str">
            <v>FECHA INGRESO</v>
          </cell>
        </row>
        <row r="13">
          <cell r="C13" t="str">
            <v>COD01</v>
          </cell>
          <cell r="D13" t="str">
            <v>JUAN PEREZ</v>
          </cell>
          <cell r="E13" t="str">
            <v>MASCULINO</v>
          </cell>
          <cell r="F13" t="str">
            <v>AUXILIAR</v>
          </cell>
          <cell r="G13" t="str">
            <v>FINANZAS</v>
          </cell>
          <cell r="H13" t="str">
            <v>PEREIRA</v>
          </cell>
          <cell r="I13" t="str">
            <v>CENTRO</v>
          </cell>
          <cell r="J13">
            <v>36892</v>
          </cell>
        </row>
        <row r="14">
          <cell r="C14" t="str">
            <v>COD02</v>
          </cell>
          <cell r="D14" t="str">
            <v>MARIA RICAURTE</v>
          </cell>
          <cell r="E14" t="str">
            <v>FEMENINO</v>
          </cell>
          <cell r="F14" t="str">
            <v>ASISTENTE</v>
          </cell>
          <cell r="G14" t="str">
            <v>GENERAL</v>
          </cell>
          <cell r="H14" t="str">
            <v>BOGOTÁ</v>
          </cell>
          <cell r="I14" t="str">
            <v>SUR</v>
          </cell>
          <cell r="J14">
            <v>33730</v>
          </cell>
        </row>
        <row r="15">
          <cell r="C15" t="str">
            <v>COD03</v>
          </cell>
          <cell r="D15" t="str">
            <v>RENE RIVAS</v>
          </cell>
          <cell r="E15" t="str">
            <v>MASCULINO</v>
          </cell>
          <cell r="F15" t="str">
            <v>AUXILIAR</v>
          </cell>
          <cell r="G15" t="str">
            <v>VENTAS</v>
          </cell>
          <cell r="H15" t="str">
            <v>CALI</v>
          </cell>
          <cell r="I15" t="str">
            <v>NORTE</v>
          </cell>
          <cell r="J15">
            <v>32190</v>
          </cell>
        </row>
        <row r="16">
          <cell r="C16" t="str">
            <v>COD04</v>
          </cell>
          <cell r="D16" t="str">
            <v>RICARDO LEON</v>
          </cell>
          <cell r="E16" t="str">
            <v>MASCULINO</v>
          </cell>
          <cell r="F16" t="str">
            <v>ASISTENTE</v>
          </cell>
          <cell r="G16" t="str">
            <v>PRODUCCION</v>
          </cell>
          <cell r="H16" t="str">
            <v>MEDELLÍN</v>
          </cell>
          <cell r="I16" t="str">
            <v>SUR</v>
          </cell>
          <cell r="J16">
            <v>36962</v>
          </cell>
        </row>
        <row r="17">
          <cell r="C17" t="str">
            <v>COD05</v>
          </cell>
          <cell r="D17" t="str">
            <v>PEDRO CIFUENTES</v>
          </cell>
          <cell r="E17" t="str">
            <v>MASCULINO</v>
          </cell>
          <cell r="F17" t="str">
            <v>JEFE</v>
          </cell>
          <cell r="G17" t="str">
            <v>VENTAS</v>
          </cell>
          <cell r="H17" t="str">
            <v>BARRANQUILLA</v>
          </cell>
          <cell r="I17" t="str">
            <v>ORIENTE</v>
          </cell>
          <cell r="J17">
            <v>35541</v>
          </cell>
        </row>
        <row r="18">
          <cell r="C18" t="str">
            <v>COD06</v>
          </cell>
          <cell r="D18" t="str">
            <v>JUAN ARBOLEDA</v>
          </cell>
          <cell r="E18" t="str">
            <v>MASCULINO</v>
          </cell>
          <cell r="F18" t="str">
            <v>GERENTE</v>
          </cell>
          <cell r="G18" t="str">
            <v>FINANZAS</v>
          </cell>
          <cell r="H18" t="str">
            <v>PEREIRA</v>
          </cell>
          <cell r="I18" t="str">
            <v>CENTRO</v>
          </cell>
          <cell r="J18">
            <v>36354</v>
          </cell>
        </row>
        <row r="19">
          <cell r="C19" t="str">
            <v>COD07</v>
          </cell>
          <cell r="D19" t="str">
            <v>LUISA HERRERA</v>
          </cell>
          <cell r="E19" t="str">
            <v>FEMENINO</v>
          </cell>
          <cell r="F19" t="str">
            <v>AUXILIAR</v>
          </cell>
          <cell r="G19" t="str">
            <v>GENERAL</v>
          </cell>
          <cell r="H19" t="str">
            <v>BOGOTÁ</v>
          </cell>
          <cell r="I19" t="str">
            <v>SUR</v>
          </cell>
          <cell r="J19">
            <v>36681</v>
          </cell>
        </row>
        <row r="20">
          <cell r="C20" t="str">
            <v>COD08</v>
          </cell>
          <cell r="D20" t="str">
            <v>PATRICIO SOSA</v>
          </cell>
          <cell r="E20" t="str">
            <v>MASCULINO</v>
          </cell>
          <cell r="F20" t="str">
            <v>ASISTENTE</v>
          </cell>
          <cell r="G20" t="str">
            <v>VENTAS</v>
          </cell>
          <cell r="H20" t="str">
            <v>CALI</v>
          </cell>
          <cell r="I20" t="str">
            <v>NORTE</v>
          </cell>
          <cell r="J20">
            <v>34228</v>
          </cell>
        </row>
        <row r="21">
          <cell r="C21" t="str">
            <v>COD09</v>
          </cell>
          <cell r="D21" t="str">
            <v>EDUARDO MALO</v>
          </cell>
          <cell r="E21" t="str">
            <v>MASCULINO</v>
          </cell>
          <cell r="F21" t="str">
            <v>ASISTENTE</v>
          </cell>
          <cell r="G21" t="str">
            <v>PRODUCCION</v>
          </cell>
          <cell r="H21" t="str">
            <v>MEDELLÍN</v>
          </cell>
          <cell r="I21" t="str">
            <v>SUR</v>
          </cell>
          <cell r="J21">
            <v>37982</v>
          </cell>
        </row>
        <row r="22">
          <cell r="C22" t="str">
            <v>COD10</v>
          </cell>
          <cell r="D22" t="str">
            <v>ROCIO LARREA</v>
          </cell>
          <cell r="E22" t="str">
            <v>FEMENINO</v>
          </cell>
          <cell r="F22" t="str">
            <v>ASISTENTE</v>
          </cell>
          <cell r="G22" t="str">
            <v>VENTAS</v>
          </cell>
          <cell r="H22" t="str">
            <v>BARRANQUILLA</v>
          </cell>
          <cell r="I22" t="str">
            <v>ORIENTE</v>
          </cell>
          <cell r="J22">
            <v>38029</v>
          </cell>
        </row>
        <row r="23">
          <cell r="C23" t="str">
            <v>COD11</v>
          </cell>
          <cell r="D23" t="str">
            <v>CATALINA GUERRA</v>
          </cell>
          <cell r="E23" t="str">
            <v>FEMENINO</v>
          </cell>
          <cell r="F23" t="str">
            <v>ASISTENTE</v>
          </cell>
          <cell r="G23" t="str">
            <v>FINANZAS</v>
          </cell>
          <cell r="H23" t="str">
            <v>PEREIRA</v>
          </cell>
          <cell r="I23" t="str">
            <v>CENTRO</v>
          </cell>
          <cell r="J23">
            <v>37128</v>
          </cell>
        </row>
        <row r="24">
          <cell r="C24" t="str">
            <v>COD12</v>
          </cell>
          <cell r="D24" t="str">
            <v>FERNANDO ORTIZ</v>
          </cell>
          <cell r="E24" t="str">
            <v>MASCULINO</v>
          </cell>
          <cell r="F24" t="str">
            <v>ASISTENTE</v>
          </cell>
          <cell r="G24" t="str">
            <v>GENERAL</v>
          </cell>
          <cell r="H24" t="str">
            <v>BOGOTÁ</v>
          </cell>
          <cell r="I24" t="str">
            <v>SUR</v>
          </cell>
          <cell r="J24">
            <v>37576</v>
          </cell>
        </row>
        <row r="25">
          <cell r="C25" t="str">
            <v>COD13</v>
          </cell>
          <cell r="D25" t="str">
            <v>MARIO GUERRON</v>
          </cell>
          <cell r="E25" t="str">
            <v>MASCULINO</v>
          </cell>
          <cell r="F25" t="str">
            <v>AUXILIAR</v>
          </cell>
          <cell r="G25" t="str">
            <v>VENTAS</v>
          </cell>
          <cell r="H25" t="str">
            <v>CALI</v>
          </cell>
          <cell r="I25" t="str">
            <v>NORTE</v>
          </cell>
          <cell r="J25">
            <v>35014</v>
          </cell>
        </row>
        <row r="26">
          <cell r="C26" t="str">
            <v>COD14</v>
          </cell>
          <cell r="D26" t="str">
            <v>ANA LLERENA</v>
          </cell>
          <cell r="E26" t="str">
            <v>FEMENINO</v>
          </cell>
          <cell r="F26" t="str">
            <v>JEFE</v>
          </cell>
          <cell r="G26" t="str">
            <v>PRODUCCION</v>
          </cell>
          <cell r="H26" t="str">
            <v>MEDELLÍN</v>
          </cell>
          <cell r="I26" t="str">
            <v>SUR</v>
          </cell>
          <cell r="J26">
            <v>34457</v>
          </cell>
        </row>
        <row r="27">
          <cell r="C27" t="str">
            <v>COD15</v>
          </cell>
          <cell r="D27" t="str">
            <v>PABLO PITARQUE</v>
          </cell>
          <cell r="E27" t="str">
            <v>MASCULINO</v>
          </cell>
          <cell r="F27" t="str">
            <v>JEFE</v>
          </cell>
          <cell r="G27" t="str">
            <v>VENTAS</v>
          </cell>
          <cell r="H27" t="str">
            <v>BARRANQUILLA</v>
          </cell>
          <cell r="I27" t="str">
            <v>ORIENTE</v>
          </cell>
          <cell r="J27">
            <v>37635</v>
          </cell>
        </row>
        <row r="28">
          <cell r="C28" t="str">
            <v>COD16</v>
          </cell>
          <cell r="D28" t="str">
            <v>DOLORES RIBADENEIRA</v>
          </cell>
          <cell r="E28" t="str">
            <v>FEMENINO</v>
          </cell>
          <cell r="F28" t="str">
            <v>ASISTENTE</v>
          </cell>
          <cell r="G28" t="str">
            <v>FINANZAS</v>
          </cell>
          <cell r="H28" t="str">
            <v>BARRANQUILLA</v>
          </cell>
          <cell r="I28" t="str">
            <v>CENTRO</v>
          </cell>
          <cell r="J28">
            <v>37171</v>
          </cell>
        </row>
        <row r="29">
          <cell r="C29" t="str">
            <v>COD17</v>
          </cell>
          <cell r="D29" t="str">
            <v>PETER VILLEGAS</v>
          </cell>
          <cell r="E29" t="str">
            <v>MASCULINO</v>
          </cell>
          <cell r="F29" t="str">
            <v>SUPERVISOR</v>
          </cell>
          <cell r="G29" t="str">
            <v>COMPRAS</v>
          </cell>
          <cell r="H29" t="str">
            <v>PEREIRA</v>
          </cell>
          <cell r="I29" t="str">
            <v>NORTE</v>
          </cell>
          <cell r="J29">
            <v>35721</v>
          </cell>
        </row>
        <row r="30">
          <cell r="C30" t="str">
            <v>COD18</v>
          </cell>
          <cell r="D30" t="str">
            <v>JUAN CARLOS SALAS</v>
          </cell>
          <cell r="E30" t="str">
            <v>MASCULINO</v>
          </cell>
          <cell r="F30" t="str">
            <v>SUPERVISOR</v>
          </cell>
          <cell r="G30" t="str">
            <v>FINANZAS</v>
          </cell>
          <cell r="H30" t="str">
            <v>MEDELLÍN</v>
          </cell>
          <cell r="I30" t="str">
            <v>SUR</v>
          </cell>
          <cell r="J30">
            <v>36617</v>
          </cell>
        </row>
        <row r="31">
          <cell r="C31" t="str">
            <v>COD19</v>
          </cell>
          <cell r="D31" t="str">
            <v>MARIA SOL GALARZA</v>
          </cell>
          <cell r="E31" t="str">
            <v>FEMENINO</v>
          </cell>
          <cell r="F31" t="str">
            <v>ASISTENTE</v>
          </cell>
          <cell r="G31" t="str">
            <v>FINANZAS</v>
          </cell>
          <cell r="H31" t="str">
            <v>BOGOTÁ</v>
          </cell>
          <cell r="I31" t="str">
            <v>SUR</v>
          </cell>
          <cell r="J31">
            <v>36143</v>
          </cell>
        </row>
        <row r="32">
          <cell r="C32" t="str">
            <v>COD20</v>
          </cell>
          <cell r="D32" t="str">
            <v>MARISOL RESTREPO</v>
          </cell>
          <cell r="E32" t="str">
            <v>FEMENINO</v>
          </cell>
          <cell r="F32" t="str">
            <v>SUPERVISOR</v>
          </cell>
          <cell r="G32" t="str">
            <v>PRODUCCION</v>
          </cell>
          <cell r="H32" t="str">
            <v>PEREIRA</v>
          </cell>
          <cell r="I32" t="str">
            <v>NORTE</v>
          </cell>
          <cell r="J32">
            <v>36061</v>
          </cell>
        </row>
        <row r="33">
          <cell r="C33" t="str">
            <v>COD21</v>
          </cell>
          <cell r="D33" t="str">
            <v>ELIDER SÁNCHEZ</v>
          </cell>
          <cell r="E33" t="str">
            <v>MASCULINO</v>
          </cell>
          <cell r="F33" t="str">
            <v>GERENTE</v>
          </cell>
          <cell r="G33" t="str">
            <v>PRODUCCION</v>
          </cell>
          <cell r="H33" t="str">
            <v>CALI</v>
          </cell>
          <cell r="I33" t="str">
            <v>NORTE</v>
          </cell>
          <cell r="J33">
            <v>36938</v>
          </cell>
        </row>
        <row r="34">
          <cell r="C34" t="str">
            <v>COD22</v>
          </cell>
          <cell r="D34" t="str">
            <v>DIANA MUÑOZ</v>
          </cell>
          <cell r="E34" t="str">
            <v>FEMENINO</v>
          </cell>
          <cell r="F34" t="str">
            <v>AUXILIAR</v>
          </cell>
          <cell r="G34" t="str">
            <v>VENTAS</v>
          </cell>
          <cell r="H34" t="str">
            <v>MEDELLÍN</v>
          </cell>
          <cell r="I34" t="str">
            <v>SUR</v>
          </cell>
          <cell r="J34">
            <v>38901</v>
          </cell>
        </row>
        <row r="35">
          <cell r="C35" t="str">
            <v>COD23</v>
          </cell>
          <cell r="D35" t="str">
            <v>JULIAN PEREZ</v>
          </cell>
          <cell r="E35" t="str">
            <v>MASCULINO</v>
          </cell>
          <cell r="F35" t="str">
            <v>ASISTENTE</v>
          </cell>
          <cell r="G35" t="str">
            <v>FINANZAS</v>
          </cell>
          <cell r="H35" t="str">
            <v>BARRANQUILLA</v>
          </cell>
          <cell r="I35" t="str">
            <v>ORIENTE</v>
          </cell>
          <cell r="J35">
            <v>40135</v>
          </cell>
        </row>
        <row r="36">
          <cell r="C36" t="str">
            <v>COD24</v>
          </cell>
          <cell r="D36" t="str">
            <v>P1</v>
          </cell>
          <cell r="E36" t="str">
            <v>MASCULINO</v>
          </cell>
          <cell r="F36" t="str">
            <v>JEFE</v>
          </cell>
          <cell r="G36" t="str">
            <v>VENTAS</v>
          </cell>
          <cell r="H36" t="str">
            <v>BARRANQUILLA</v>
          </cell>
          <cell r="I36" t="str">
            <v>ORIENTE</v>
          </cell>
          <cell r="J36">
            <v>37635</v>
          </cell>
        </row>
        <row r="37">
          <cell r="C37" t="str">
            <v>COD25</v>
          </cell>
          <cell r="D37" t="str">
            <v>P2</v>
          </cell>
          <cell r="E37" t="str">
            <v>FEMENINO</v>
          </cell>
          <cell r="F37" t="str">
            <v>ASISTENTE</v>
          </cell>
          <cell r="G37" t="str">
            <v>FINANZAS</v>
          </cell>
          <cell r="H37" t="str">
            <v>BARRANQUILLA</v>
          </cell>
          <cell r="I37" t="str">
            <v>CENTRO</v>
          </cell>
          <cell r="J37">
            <v>37171</v>
          </cell>
        </row>
        <row r="38">
          <cell r="C38" t="str">
            <v>COD26</v>
          </cell>
          <cell r="D38" t="str">
            <v>P3</v>
          </cell>
          <cell r="E38" t="str">
            <v>MASCULINO</v>
          </cell>
          <cell r="F38" t="str">
            <v>SUPERVISOR</v>
          </cell>
          <cell r="G38" t="str">
            <v>COMPRAS</v>
          </cell>
          <cell r="H38" t="str">
            <v>PEREIRA</v>
          </cell>
          <cell r="I38" t="str">
            <v>NORTE</v>
          </cell>
          <cell r="J38">
            <v>35721</v>
          </cell>
        </row>
        <row r="39">
          <cell r="C39" t="str">
            <v>COD27</v>
          </cell>
          <cell r="D39" t="str">
            <v>P4</v>
          </cell>
          <cell r="E39" t="str">
            <v>MASCULINO</v>
          </cell>
          <cell r="F39" t="str">
            <v>SUPERVISOR</v>
          </cell>
          <cell r="G39" t="str">
            <v>FINANZAS</v>
          </cell>
          <cell r="H39" t="str">
            <v>MEDELLÍN</v>
          </cell>
          <cell r="I39" t="str">
            <v>SUR</v>
          </cell>
          <cell r="J39">
            <v>36617</v>
          </cell>
        </row>
        <row r="40">
          <cell r="C40" t="str">
            <v>COD28</v>
          </cell>
          <cell r="D40" t="str">
            <v>P5</v>
          </cell>
          <cell r="E40" t="str">
            <v>FEMENINO</v>
          </cell>
          <cell r="F40" t="str">
            <v>ASISTENTE</v>
          </cell>
          <cell r="G40" t="str">
            <v>FINANZAS</v>
          </cell>
          <cell r="H40" t="str">
            <v>BOGOTÁ</v>
          </cell>
          <cell r="I40" t="str">
            <v>SUR</v>
          </cell>
          <cell r="J40">
            <v>36143</v>
          </cell>
        </row>
        <row r="41">
          <cell r="C41" t="str">
            <v>COD29</v>
          </cell>
          <cell r="D41" t="str">
            <v>P6</v>
          </cell>
          <cell r="E41" t="str">
            <v>FEMENINO</v>
          </cell>
          <cell r="F41" t="str">
            <v>SUPERVISOR</v>
          </cell>
          <cell r="G41" t="str">
            <v>PRODUCCION</v>
          </cell>
          <cell r="H41" t="str">
            <v>PEREIRA</v>
          </cell>
          <cell r="I41" t="str">
            <v>NORTE</v>
          </cell>
          <cell r="J41">
            <v>36061</v>
          </cell>
        </row>
        <row r="42">
          <cell r="C42" t="str">
            <v>COD30</v>
          </cell>
          <cell r="D42" t="str">
            <v>P7</v>
          </cell>
          <cell r="E42" t="str">
            <v>MASCULINO</v>
          </cell>
          <cell r="F42" t="str">
            <v>GERENTE</v>
          </cell>
          <cell r="G42" t="str">
            <v>PRODUCCION</v>
          </cell>
          <cell r="H42" t="str">
            <v>CALI</v>
          </cell>
          <cell r="I42" t="str">
            <v>NORTE</v>
          </cell>
          <cell r="J42">
            <v>36938</v>
          </cell>
        </row>
        <row r="43">
          <cell r="C43" t="str">
            <v>COD31</v>
          </cell>
          <cell r="D43" t="str">
            <v>P8</v>
          </cell>
          <cell r="E43" t="str">
            <v>FEMENINO</v>
          </cell>
          <cell r="F43" t="str">
            <v>AUXILIAR</v>
          </cell>
          <cell r="G43" t="str">
            <v>VENTAS</v>
          </cell>
          <cell r="H43" t="str">
            <v>MEDELLÍN</v>
          </cell>
          <cell r="I43" t="str">
            <v>SUR</v>
          </cell>
          <cell r="J43">
            <v>38901</v>
          </cell>
        </row>
        <row r="44">
          <cell r="C44" t="str">
            <v>COD32</v>
          </cell>
          <cell r="D44" t="str">
            <v>P9</v>
          </cell>
          <cell r="E44" t="str">
            <v>MASCULINO</v>
          </cell>
          <cell r="F44" t="str">
            <v>ASISTENTE</v>
          </cell>
          <cell r="G44" t="str">
            <v>FINANZAS</v>
          </cell>
          <cell r="H44" t="str">
            <v>BARRANQUILLA</v>
          </cell>
          <cell r="I44" t="str">
            <v>ORIENTE</v>
          </cell>
          <cell r="J44">
            <v>40135</v>
          </cell>
        </row>
      </sheetData>
      <sheetData sheetId="13"/>
      <sheetData sheetId="14"/>
      <sheetData sheetId="15"/>
      <sheetData sheetId="16"/>
      <sheetData sheetId="17">
        <row r="14">
          <cell r="C14" t="str">
            <v>Juan Felipe Perez</v>
          </cell>
        </row>
        <row r="15">
          <cell r="C15" t="str">
            <v>Carla Giraldo</v>
          </cell>
        </row>
        <row r="16">
          <cell r="C16" t="str">
            <v>Elider Sánchez</v>
          </cell>
        </row>
        <row r="17">
          <cell r="C17" t="str">
            <v>Jose Godoy</v>
          </cell>
        </row>
        <row r="18">
          <cell r="C18" t="str">
            <v>Diego Galeano</v>
          </cell>
        </row>
        <row r="19">
          <cell r="C19" t="str">
            <v>Gilberto Garcia</v>
          </cell>
        </row>
        <row r="20">
          <cell r="C20" t="str">
            <v>Carolina Cepeda</v>
          </cell>
        </row>
        <row r="21">
          <cell r="C21" t="str">
            <v>Mariana Alba</v>
          </cell>
        </row>
        <row r="22">
          <cell r="C22" t="str">
            <v>Javier Gutierrez</v>
          </cell>
        </row>
        <row r="23">
          <cell r="C23" t="str">
            <v>Hector Ramos</v>
          </cell>
        </row>
        <row r="24">
          <cell r="C24" t="str">
            <v>Cristian Garcia</v>
          </cell>
        </row>
        <row r="25">
          <cell r="C25" t="str">
            <v>Natalia la Reina</v>
          </cell>
        </row>
        <row r="26">
          <cell r="C26" t="str">
            <v>Natalia la Buena</v>
          </cell>
        </row>
        <row r="27">
          <cell r="C27" t="str">
            <v>Natalia la Pulga</v>
          </cell>
        </row>
        <row r="28">
          <cell r="C28" t="str">
            <v>Lorena Acosta</v>
          </cell>
        </row>
        <row r="29">
          <cell r="C29" t="str">
            <v>Bibiana Agudelo</v>
          </cell>
        </row>
        <row r="30">
          <cell r="C30" t="str">
            <v>Mauricio Quintero</v>
          </cell>
        </row>
        <row r="31">
          <cell r="C31" t="str">
            <v>Jonathan Sánchez</v>
          </cell>
        </row>
        <row r="32">
          <cell r="C32" t="str">
            <v>Diana Saavedra</v>
          </cell>
        </row>
      </sheetData>
      <sheetData sheetId="18">
        <row r="24">
          <cell r="C24" t="str">
            <v>Pantalón</v>
          </cell>
        </row>
        <row r="25">
          <cell r="C25" t="str">
            <v>Camisa</v>
          </cell>
        </row>
        <row r="26">
          <cell r="C26" t="str">
            <v>Medias</v>
          </cell>
        </row>
        <row r="27">
          <cell r="C27" t="str">
            <v>Saco</v>
          </cell>
        </row>
        <row r="28">
          <cell r="C28" t="str">
            <v>Calzado</v>
          </cell>
        </row>
      </sheetData>
      <sheetData sheetId="19"/>
      <sheetData sheetId="20">
        <row r="15">
          <cell r="D15" t="str">
            <v>ENERO</v>
          </cell>
          <cell r="E15" t="str">
            <v>FEBRERO</v>
          </cell>
          <cell r="F15" t="str">
            <v>MARZO</v>
          </cell>
        </row>
        <row r="16">
          <cell r="C16" t="str">
            <v>CEMENTO</v>
          </cell>
          <cell r="D16">
            <v>34900</v>
          </cell>
          <cell r="E16">
            <v>35900</v>
          </cell>
          <cell r="F16">
            <v>38500</v>
          </cell>
          <cell r="H16" t="str">
            <v>ENERO</v>
          </cell>
          <cell r="I16">
            <v>1</v>
          </cell>
        </row>
        <row r="17">
          <cell r="C17" t="str">
            <v>ARENA</v>
          </cell>
          <cell r="D17">
            <v>55900</v>
          </cell>
          <cell r="E17">
            <v>57300</v>
          </cell>
          <cell r="F17">
            <v>57900</v>
          </cell>
          <cell r="H17" t="str">
            <v>FEBRERO</v>
          </cell>
          <cell r="I17">
            <v>2</v>
          </cell>
        </row>
        <row r="18">
          <cell r="C18" t="str">
            <v>MARTILLO</v>
          </cell>
          <cell r="D18">
            <v>8900</v>
          </cell>
          <cell r="E18">
            <v>9100</v>
          </cell>
          <cell r="F18">
            <v>9500</v>
          </cell>
          <cell r="H18" t="str">
            <v>MARZO</v>
          </cell>
          <cell r="I18">
            <v>3</v>
          </cell>
        </row>
        <row r="19">
          <cell r="C19" t="str">
            <v>VARILLA</v>
          </cell>
          <cell r="D19">
            <v>31900</v>
          </cell>
          <cell r="E19">
            <v>32500</v>
          </cell>
          <cell r="F19">
            <v>35000</v>
          </cell>
        </row>
        <row r="20">
          <cell r="C20" t="str">
            <v>ALAMBRE</v>
          </cell>
          <cell r="D20">
            <v>4900</v>
          </cell>
          <cell r="E20">
            <v>5000</v>
          </cell>
          <cell r="F20">
            <v>6200</v>
          </cell>
        </row>
        <row r="21">
          <cell r="C21" t="str">
            <v>PINTURA</v>
          </cell>
          <cell r="D21">
            <v>179900</v>
          </cell>
          <cell r="E21">
            <v>185000</v>
          </cell>
          <cell r="F21">
            <v>195000</v>
          </cell>
        </row>
        <row r="22">
          <cell r="C22" t="str">
            <v>RODILLO</v>
          </cell>
          <cell r="D22">
            <v>11500</v>
          </cell>
          <cell r="E22">
            <v>12000</v>
          </cell>
          <cell r="F22">
            <v>12900</v>
          </cell>
        </row>
      </sheetData>
      <sheetData sheetId="21"/>
      <sheetData sheetId="22"/>
      <sheetData sheetId="23"/>
      <sheetData sheetId="24"/>
      <sheetData sheetId="25"/>
      <sheetData sheetId="26">
        <row r="16">
          <cell r="D16">
            <v>20000</v>
          </cell>
          <cell r="E16">
            <v>500</v>
          </cell>
          <cell r="F16">
            <v>10000000</v>
          </cell>
        </row>
        <row r="17">
          <cell r="D17">
            <v>25000</v>
          </cell>
          <cell r="E17">
            <v>260</v>
          </cell>
          <cell r="F17">
            <v>6500000</v>
          </cell>
        </row>
        <row r="18">
          <cell r="D18">
            <v>30000</v>
          </cell>
          <cell r="E18">
            <v>320</v>
          </cell>
          <cell r="F18">
            <v>9600000</v>
          </cell>
        </row>
        <row r="19">
          <cell r="D19">
            <v>37000</v>
          </cell>
          <cell r="E19">
            <v>400</v>
          </cell>
          <cell r="F19">
            <v>14800000</v>
          </cell>
        </row>
        <row r="20">
          <cell r="D20">
            <v>42000</v>
          </cell>
          <cell r="E20">
            <v>180</v>
          </cell>
          <cell r="F20">
            <v>7560000</v>
          </cell>
        </row>
        <row r="21">
          <cell r="D21">
            <v>55600</v>
          </cell>
          <cell r="E21">
            <v>610</v>
          </cell>
          <cell r="F21">
            <v>33916000</v>
          </cell>
        </row>
        <row r="22">
          <cell r="D22">
            <v>77500</v>
          </cell>
          <cell r="E22">
            <v>310</v>
          </cell>
          <cell r="F22">
            <v>24025000</v>
          </cell>
        </row>
      </sheetData>
      <sheetData sheetId="27">
        <row r="16">
          <cell r="F16">
            <v>1</v>
          </cell>
          <cell r="G16" t="str">
            <v>TV</v>
          </cell>
        </row>
        <row r="17">
          <cell r="F17">
            <v>2</v>
          </cell>
          <cell r="G17" t="str">
            <v>DVD</v>
          </cell>
        </row>
        <row r="18">
          <cell r="F18">
            <v>3</v>
          </cell>
          <cell r="G18" t="str">
            <v>PC</v>
          </cell>
        </row>
        <row r="25">
          <cell r="C25" t="str">
            <v>DVD</v>
          </cell>
          <cell r="D25" t="str">
            <v>Elizabeth</v>
          </cell>
          <cell r="E25">
            <v>11</v>
          </cell>
        </row>
        <row r="26">
          <cell r="C26" t="str">
            <v>TV</v>
          </cell>
          <cell r="D26" t="str">
            <v>Elizabeth</v>
          </cell>
          <cell r="E26">
            <v>14</v>
          </cell>
        </row>
        <row r="27">
          <cell r="C27" t="str">
            <v>PC</v>
          </cell>
          <cell r="D27" t="str">
            <v>Elider</v>
          </cell>
          <cell r="E27">
            <v>11</v>
          </cell>
        </row>
        <row r="28">
          <cell r="C28" t="str">
            <v>TV</v>
          </cell>
          <cell r="D28" t="str">
            <v>Elizabeth</v>
          </cell>
          <cell r="E28">
            <v>11</v>
          </cell>
        </row>
        <row r="29">
          <cell r="C29" t="str">
            <v>TV</v>
          </cell>
          <cell r="D29" t="str">
            <v>Elizabeth</v>
          </cell>
          <cell r="E29">
            <v>11</v>
          </cell>
        </row>
        <row r="30">
          <cell r="C30" t="str">
            <v>PC</v>
          </cell>
          <cell r="D30" t="str">
            <v>Elider</v>
          </cell>
          <cell r="E30">
            <v>10</v>
          </cell>
        </row>
        <row r="31">
          <cell r="C31" t="str">
            <v>DVD</v>
          </cell>
          <cell r="D31" t="str">
            <v>Elizabeth</v>
          </cell>
          <cell r="E31">
            <v>9</v>
          </cell>
        </row>
        <row r="32">
          <cell r="C32" t="str">
            <v>TV</v>
          </cell>
          <cell r="D32" t="str">
            <v>Elider</v>
          </cell>
          <cell r="E32">
            <v>9</v>
          </cell>
        </row>
        <row r="33">
          <cell r="C33" t="str">
            <v>PC</v>
          </cell>
          <cell r="D33" t="str">
            <v>Elider</v>
          </cell>
          <cell r="E33">
            <v>16</v>
          </cell>
        </row>
      </sheetData>
      <sheetData sheetId="28">
        <row r="17">
          <cell r="D17">
            <v>7</v>
          </cell>
          <cell r="E17">
            <v>9</v>
          </cell>
          <cell r="F17">
            <v>6</v>
          </cell>
          <cell r="G17">
            <v>8</v>
          </cell>
          <cell r="H17">
            <v>6</v>
          </cell>
          <cell r="I17">
            <v>5</v>
          </cell>
          <cell r="J17">
            <v>8</v>
          </cell>
          <cell r="K17">
            <v>5</v>
          </cell>
        </row>
        <row r="18">
          <cell r="D18">
            <v>5</v>
          </cell>
          <cell r="E18">
            <v>9</v>
          </cell>
          <cell r="F18">
            <v>8</v>
          </cell>
          <cell r="G18">
            <v>10</v>
          </cell>
          <cell r="H18">
            <v>8</v>
          </cell>
          <cell r="I18">
            <v>10</v>
          </cell>
          <cell r="J18">
            <v>8</v>
          </cell>
          <cell r="K18">
            <v>5</v>
          </cell>
        </row>
        <row r="19">
          <cell r="D19">
            <v>7</v>
          </cell>
          <cell r="E19">
            <v>10</v>
          </cell>
          <cell r="F19">
            <v>5</v>
          </cell>
          <cell r="G19">
            <v>5</v>
          </cell>
          <cell r="H19">
            <v>8</v>
          </cell>
          <cell r="I19">
            <v>10</v>
          </cell>
          <cell r="J19">
            <v>4</v>
          </cell>
          <cell r="K19">
            <v>5</v>
          </cell>
        </row>
        <row r="20">
          <cell r="D20">
            <v>8</v>
          </cell>
          <cell r="E20">
            <v>5</v>
          </cell>
          <cell r="F20">
            <v>5</v>
          </cell>
          <cell r="G20">
            <v>7</v>
          </cell>
          <cell r="H20">
            <v>5</v>
          </cell>
          <cell r="I20">
            <v>7</v>
          </cell>
          <cell r="J20">
            <v>5</v>
          </cell>
          <cell r="K20">
            <v>6</v>
          </cell>
        </row>
        <row r="21">
          <cell r="D21">
            <v>4</v>
          </cell>
          <cell r="E21">
            <v>9</v>
          </cell>
          <cell r="F21">
            <v>5</v>
          </cell>
          <cell r="G21">
            <v>10</v>
          </cell>
          <cell r="H21">
            <v>9</v>
          </cell>
          <cell r="I21">
            <v>7</v>
          </cell>
          <cell r="J21">
            <v>8</v>
          </cell>
          <cell r="K21">
            <v>8</v>
          </cell>
        </row>
        <row r="22">
          <cell r="D22">
            <v>5</v>
          </cell>
          <cell r="E22">
            <v>10</v>
          </cell>
          <cell r="F22">
            <v>7</v>
          </cell>
          <cell r="G22">
            <v>6</v>
          </cell>
          <cell r="H22">
            <v>9</v>
          </cell>
          <cell r="I22">
            <v>10</v>
          </cell>
          <cell r="J22">
            <v>7</v>
          </cell>
          <cell r="K22">
            <v>7</v>
          </cell>
        </row>
        <row r="23">
          <cell r="D23">
            <v>8</v>
          </cell>
          <cell r="E23">
            <v>10</v>
          </cell>
          <cell r="F23">
            <v>7</v>
          </cell>
          <cell r="G23">
            <v>7</v>
          </cell>
          <cell r="H23">
            <v>8</v>
          </cell>
          <cell r="I23">
            <v>9</v>
          </cell>
          <cell r="J23">
            <v>9</v>
          </cell>
          <cell r="K23">
            <v>9</v>
          </cell>
        </row>
        <row r="24">
          <cell r="D24">
            <v>9</v>
          </cell>
          <cell r="E24">
            <v>8</v>
          </cell>
          <cell r="F24">
            <v>8</v>
          </cell>
          <cell r="G24">
            <v>9</v>
          </cell>
          <cell r="H24">
            <v>8</v>
          </cell>
          <cell r="I24">
            <v>9</v>
          </cell>
          <cell r="J24">
            <v>9</v>
          </cell>
          <cell r="K24">
            <v>8</v>
          </cell>
        </row>
      </sheetData>
      <sheetData sheetId="29"/>
      <sheetData sheetId="30">
        <row r="21">
          <cell r="D21">
            <v>-70</v>
          </cell>
          <cell r="G21">
            <v>-290</v>
          </cell>
        </row>
        <row r="22">
          <cell r="D22">
            <v>0</v>
          </cell>
          <cell r="G22">
            <v>-259.55</v>
          </cell>
        </row>
        <row r="23">
          <cell r="D23">
            <v>-47</v>
          </cell>
          <cell r="G23">
            <v>-229.10000000000002</v>
          </cell>
        </row>
        <row r="24">
          <cell r="D24">
            <v>87</v>
          </cell>
          <cell r="G24">
            <v>-198.65000000000003</v>
          </cell>
        </row>
        <row r="25">
          <cell r="D25">
            <v>120</v>
          </cell>
          <cell r="G25">
            <v>-168.20000000000005</v>
          </cell>
        </row>
        <row r="26">
          <cell r="D26">
            <v>31</v>
          </cell>
          <cell r="G26">
            <v>-137.75000000000006</v>
          </cell>
        </row>
        <row r="27">
          <cell r="D27">
            <v>-217</v>
          </cell>
          <cell r="G27">
            <v>-107.30000000000005</v>
          </cell>
        </row>
        <row r="28">
          <cell r="D28">
            <v>73</v>
          </cell>
          <cell r="G28">
            <v>-76.850000000000051</v>
          </cell>
        </row>
        <row r="29">
          <cell r="D29">
            <v>-84</v>
          </cell>
          <cell r="G29">
            <v>-46.400000000000048</v>
          </cell>
        </row>
        <row r="30">
          <cell r="D30">
            <v>-14</v>
          </cell>
          <cell r="G30">
            <v>-15.950000000000049</v>
          </cell>
        </row>
        <row r="31">
          <cell r="D31">
            <v>105</v>
          </cell>
          <cell r="G31">
            <v>14.49999999999995</v>
          </cell>
        </row>
        <row r="32">
          <cell r="D32">
            <v>-86</v>
          </cell>
          <cell r="G32">
            <v>44.949999999999946</v>
          </cell>
        </row>
        <row r="33">
          <cell r="D33">
            <v>-63</v>
          </cell>
          <cell r="G33">
            <v>75.399999999999949</v>
          </cell>
        </row>
        <row r="34">
          <cell r="D34">
            <v>45</v>
          </cell>
          <cell r="G34">
            <v>105.84999999999995</v>
          </cell>
        </row>
        <row r="35">
          <cell r="D35">
            <v>-12</v>
          </cell>
          <cell r="G35">
            <v>136.29999999999995</v>
          </cell>
        </row>
        <row r="36">
          <cell r="D36">
            <v>-79</v>
          </cell>
          <cell r="G36">
            <v>166.74999999999994</v>
          </cell>
        </row>
        <row r="37">
          <cell r="D37">
            <v>72</v>
          </cell>
          <cell r="G37">
            <v>197.19999999999993</v>
          </cell>
        </row>
        <row r="38">
          <cell r="D38">
            <v>109</v>
          </cell>
          <cell r="G38">
            <v>227.64999999999992</v>
          </cell>
        </row>
        <row r="39">
          <cell r="D39">
            <v>-200</v>
          </cell>
          <cell r="G39">
            <v>258.09999999999991</v>
          </cell>
        </row>
        <row r="40">
          <cell r="D40">
            <v>42</v>
          </cell>
          <cell r="G40">
            <v>288.5499999999999</v>
          </cell>
        </row>
        <row r="41">
          <cell r="D41">
            <v>10</v>
          </cell>
          <cell r="G41">
            <v>318.99999999999989</v>
          </cell>
        </row>
        <row r="42">
          <cell r="D42">
            <v>-3</v>
          </cell>
        </row>
        <row r="43">
          <cell r="D43">
            <v>-41</v>
          </cell>
        </row>
        <row r="44">
          <cell r="D44">
            <v>-28</v>
          </cell>
        </row>
        <row r="45">
          <cell r="D45">
            <v>-80</v>
          </cell>
        </row>
        <row r="46">
          <cell r="D46">
            <v>-10</v>
          </cell>
        </row>
        <row r="47">
          <cell r="D47">
            <v>-86</v>
          </cell>
        </row>
        <row r="48">
          <cell r="D48">
            <v>-32</v>
          </cell>
        </row>
        <row r="49">
          <cell r="D49">
            <v>-35</v>
          </cell>
        </row>
        <row r="50">
          <cell r="D50">
            <v>-68</v>
          </cell>
        </row>
        <row r="51">
          <cell r="D51">
            <v>-80</v>
          </cell>
        </row>
        <row r="52">
          <cell r="D52">
            <v>94</v>
          </cell>
        </row>
        <row r="53">
          <cell r="D53">
            <v>68</v>
          </cell>
        </row>
        <row r="54">
          <cell r="D54">
            <v>78</v>
          </cell>
        </row>
        <row r="55">
          <cell r="D55">
            <v>13</v>
          </cell>
        </row>
        <row r="56">
          <cell r="D56">
            <v>-51</v>
          </cell>
        </row>
        <row r="57">
          <cell r="D57">
            <v>-5</v>
          </cell>
        </row>
        <row r="58">
          <cell r="D58">
            <v>-34</v>
          </cell>
        </row>
        <row r="59">
          <cell r="D59">
            <v>59</v>
          </cell>
        </row>
        <row r="60">
          <cell r="D60">
            <v>-69</v>
          </cell>
        </row>
        <row r="61">
          <cell r="D61">
            <v>-254</v>
          </cell>
        </row>
        <row r="62">
          <cell r="D62">
            <v>-87</v>
          </cell>
        </row>
        <row r="63">
          <cell r="D63">
            <v>-49</v>
          </cell>
        </row>
        <row r="64">
          <cell r="D64">
            <v>-57</v>
          </cell>
        </row>
        <row r="65">
          <cell r="D65">
            <v>-110</v>
          </cell>
        </row>
        <row r="66">
          <cell r="D66">
            <v>-88</v>
          </cell>
        </row>
        <row r="67">
          <cell r="D67">
            <v>-52</v>
          </cell>
        </row>
        <row r="68">
          <cell r="D68">
            <v>-88</v>
          </cell>
        </row>
        <row r="69">
          <cell r="D69">
            <v>105</v>
          </cell>
        </row>
        <row r="70">
          <cell r="D70">
            <v>-176</v>
          </cell>
        </row>
        <row r="71">
          <cell r="D71">
            <v>-69</v>
          </cell>
        </row>
        <row r="72">
          <cell r="D72">
            <v>151</v>
          </cell>
        </row>
        <row r="73">
          <cell r="D73">
            <v>38</v>
          </cell>
        </row>
        <row r="74">
          <cell r="D74">
            <v>94</v>
          </cell>
        </row>
        <row r="75">
          <cell r="D75">
            <v>-200</v>
          </cell>
        </row>
        <row r="76">
          <cell r="D76">
            <v>21</v>
          </cell>
        </row>
        <row r="77">
          <cell r="D77">
            <v>-124</v>
          </cell>
        </row>
        <row r="78">
          <cell r="D78">
            <v>12</v>
          </cell>
        </row>
        <row r="79">
          <cell r="D79">
            <v>319</v>
          </cell>
        </row>
        <row r="80">
          <cell r="D80">
            <v>-60</v>
          </cell>
        </row>
        <row r="81">
          <cell r="D81">
            <v>71</v>
          </cell>
        </row>
        <row r="82">
          <cell r="D82">
            <v>189</v>
          </cell>
        </row>
        <row r="83">
          <cell r="D83">
            <v>-109</v>
          </cell>
        </row>
        <row r="84">
          <cell r="D84">
            <v>-94</v>
          </cell>
        </row>
        <row r="85">
          <cell r="D85">
            <v>-13</v>
          </cell>
        </row>
        <row r="86">
          <cell r="D86">
            <v>155</v>
          </cell>
        </row>
        <row r="87">
          <cell r="D87">
            <v>82</v>
          </cell>
        </row>
        <row r="88">
          <cell r="D88">
            <v>16</v>
          </cell>
        </row>
        <row r="89">
          <cell r="D89">
            <v>-28</v>
          </cell>
        </row>
        <row r="90">
          <cell r="D90">
            <v>-66</v>
          </cell>
        </row>
        <row r="91">
          <cell r="D91">
            <v>85</v>
          </cell>
        </row>
        <row r="92">
          <cell r="D92">
            <v>-223</v>
          </cell>
        </row>
        <row r="93">
          <cell r="D93">
            <v>114</v>
          </cell>
        </row>
        <row r="94">
          <cell r="D94">
            <v>147</v>
          </cell>
        </row>
        <row r="95">
          <cell r="D95">
            <v>-104</v>
          </cell>
        </row>
        <row r="96">
          <cell r="D96">
            <v>-100</v>
          </cell>
        </row>
        <row r="97">
          <cell r="D97">
            <v>28</v>
          </cell>
        </row>
        <row r="98">
          <cell r="D98">
            <v>-21</v>
          </cell>
        </row>
        <row r="99">
          <cell r="D99">
            <v>150</v>
          </cell>
        </row>
        <row r="100">
          <cell r="D100">
            <v>115</v>
          </cell>
        </row>
        <row r="101">
          <cell r="D101">
            <v>9</v>
          </cell>
        </row>
        <row r="102">
          <cell r="D102">
            <v>-2</v>
          </cell>
        </row>
        <row r="103">
          <cell r="D103">
            <v>94</v>
          </cell>
        </row>
        <row r="104">
          <cell r="D104">
            <v>15</v>
          </cell>
        </row>
        <row r="105">
          <cell r="D105">
            <v>-78</v>
          </cell>
        </row>
        <row r="106">
          <cell r="D106">
            <v>-170</v>
          </cell>
        </row>
        <row r="107">
          <cell r="D107">
            <v>213</v>
          </cell>
        </row>
        <row r="108">
          <cell r="D108">
            <v>109</v>
          </cell>
        </row>
        <row r="109">
          <cell r="D109">
            <v>130</v>
          </cell>
        </row>
        <row r="110">
          <cell r="D110">
            <v>-40</v>
          </cell>
        </row>
        <row r="111">
          <cell r="D111">
            <v>132</v>
          </cell>
        </row>
        <row r="112">
          <cell r="D112">
            <v>151</v>
          </cell>
        </row>
        <row r="113">
          <cell r="D113">
            <v>103</v>
          </cell>
        </row>
        <row r="114">
          <cell r="D114">
            <v>9</v>
          </cell>
        </row>
        <row r="115">
          <cell r="D115">
            <v>75</v>
          </cell>
        </row>
        <row r="116">
          <cell r="D116">
            <v>-58</v>
          </cell>
        </row>
        <row r="117">
          <cell r="D117">
            <v>-50</v>
          </cell>
        </row>
        <row r="118">
          <cell r="D118">
            <v>185</v>
          </cell>
        </row>
        <row r="119">
          <cell r="D119">
            <v>-43</v>
          </cell>
        </row>
        <row r="120">
          <cell r="D120">
            <v>-18</v>
          </cell>
        </row>
        <row r="121">
          <cell r="D121">
            <v>-71</v>
          </cell>
        </row>
        <row r="122">
          <cell r="D122">
            <v>-71</v>
          </cell>
        </row>
        <row r="123">
          <cell r="D123">
            <v>-19</v>
          </cell>
        </row>
        <row r="124">
          <cell r="D124">
            <v>3</v>
          </cell>
        </row>
        <row r="125">
          <cell r="D125">
            <v>-42</v>
          </cell>
        </row>
        <row r="126">
          <cell r="D126">
            <v>61</v>
          </cell>
        </row>
        <row r="127">
          <cell r="D127">
            <v>80</v>
          </cell>
        </row>
        <row r="128">
          <cell r="D128">
            <v>196</v>
          </cell>
        </row>
        <row r="129">
          <cell r="D129">
            <v>96</v>
          </cell>
        </row>
        <row r="130">
          <cell r="D130">
            <v>17</v>
          </cell>
        </row>
        <row r="131">
          <cell r="D131">
            <v>-51</v>
          </cell>
        </row>
        <row r="132">
          <cell r="D132">
            <v>73</v>
          </cell>
        </row>
        <row r="133">
          <cell r="D133">
            <v>-223</v>
          </cell>
        </row>
        <row r="134">
          <cell r="D134">
            <v>-160</v>
          </cell>
        </row>
        <row r="135">
          <cell r="D135">
            <v>46</v>
          </cell>
        </row>
        <row r="136">
          <cell r="D136">
            <v>85</v>
          </cell>
        </row>
        <row r="137">
          <cell r="D137">
            <v>116</v>
          </cell>
        </row>
        <row r="138">
          <cell r="D138">
            <v>-22</v>
          </cell>
        </row>
        <row r="139">
          <cell r="D139">
            <v>-67</v>
          </cell>
        </row>
        <row r="140">
          <cell r="D140">
            <v>-5</v>
          </cell>
        </row>
        <row r="141">
          <cell r="D141">
            <v>25</v>
          </cell>
        </row>
        <row r="142">
          <cell r="D142">
            <v>105</v>
          </cell>
        </row>
        <row r="143">
          <cell r="D143">
            <v>2</v>
          </cell>
        </row>
        <row r="144">
          <cell r="D144">
            <v>103</v>
          </cell>
        </row>
        <row r="145">
          <cell r="D145">
            <v>-142</v>
          </cell>
        </row>
        <row r="146">
          <cell r="D146">
            <v>-83</v>
          </cell>
        </row>
        <row r="147">
          <cell r="D147">
            <v>-96</v>
          </cell>
        </row>
        <row r="148">
          <cell r="D148">
            <v>135</v>
          </cell>
        </row>
        <row r="149">
          <cell r="D149">
            <v>121</v>
          </cell>
        </row>
        <row r="150">
          <cell r="D150">
            <v>27</v>
          </cell>
        </row>
        <row r="151">
          <cell r="D151">
            <v>37</v>
          </cell>
        </row>
        <row r="152">
          <cell r="D152">
            <v>90</v>
          </cell>
        </row>
        <row r="153">
          <cell r="D153">
            <v>71</v>
          </cell>
        </row>
        <row r="154">
          <cell r="D154">
            <v>-133</v>
          </cell>
        </row>
        <row r="155">
          <cell r="D155">
            <v>80</v>
          </cell>
        </row>
        <row r="156">
          <cell r="D156">
            <v>-35</v>
          </cell>
        </row>
        <row r="157">
          <cell r="D157">
            <v>-52</v>
          </cell>
        </row>
        <row r="158">
          <cell r="D158">
            <v>68</v>
          </cell>
        </row>
        <row r="159">
          <cell r="D159">
            <v>54</v>
          </cell>
        </row>
        <row r="160">
          <cell r="D160">
            <v>6</v>
          </cell>
        </row>
        <row r="161">
          <cell r="D161">
            <v>172</v>
          </cell>
        </row>
        <row r="162">
          <cell r="D162">
            <v>-64</v>
          </cell>
        </row>
        <row r="163">
          <cell r="D163">
            <v>-44</v>
          </cell>
        </row>
        <row r="164">
          <cell r="D164">
            <v>-153</v>
          </cell>
        </row>
        <row r="165">
          <cell r="D165">
            <v>-84</v>
          </cell>
        </row>
        <row r="166">
          <cell r="D166">
            <v>118</v>
          </cell>
        </row>
        <row r="167">
          <cell r="D167">
            <v>-73</v>
          </cell>
        </row>
        <row r="168">
          <cell r="D168">
            <v>-65</v>
          </cell>
        </row>
        <row r="169">
          <cell r="D169">
            <v>-104</v>
          </cell>
        </row>
        <row r="170">
          <cell r="D170">
            <v>76</v>
          </cell>
        </row>
        <row r="171">
          <cell r="D171">
            <v>-63</v>
          </cell>
        </row>
        <row r="172">
          <cell r="D172">
            <v>-58</v>
          </cell>
        </row>
        <row r="173">
          <cell r="D173">
            <v>-196</v>
          </cell>
        </row>
        <row r="174">
          <cell r="D174">
            <v>31</v>
          </cell>
        </row>
        <row r="175">
          <cell r="D175">
            <v>4</v>
          </cell>
        </row>
        <row r="176">
          <cell r="D176">
            <v>104</v>
          </cell>
        </row>
        <row r="177">
          <cell r="D177">
            <v>96</v>
          </cell>
        </row>
        <row r="178">
          <cell r="D178">
            <v>-136</v>
          </cell>
        </row>
        <row r="179">
          <cell r="D179">
            <v>11</v>
          </cell>
        </row>
        <row r="180">
          <cell r="D180">
            <v>-170</v>
          </cell>
        </row>
        <row r="181">
          <cell r="D181">
            <v>116</v>
          </cell>
        </row>
        <row r="182">
          <cell r="D182">
            <v>55</v>
          </cell>
        </row>
        <row r="183">
          <cell r="D183">
            <v>27</v>
          </cell>
        </row>
        <row r="184">
          <cell r="D184">
            <v>272</v>
          </cell>
        </row>
        <row r="185">
          <cell r="D185">
            <v>160</v>
          </cell>
        </row>
        <row r="186">
          <cell r="D186">
            <v>-162</v>
          </cell>
        </row>
        <row r="187">
          <cell r="D187">
            <v>-161</v>
          </cell>
        </row>
        <row r="188">
          <cell r="D188">
            <v>-107</v>
          </cell>
        </row>
        <row r="189">
          <cell r="D189">
            <v>36</v>
          </cell>
        </row>
        <row r="190">
          <cell r="D190">
            <v>49</v>
          </cell>
        </row>
        <row r="191">
          <cell r="D191">
            <v>-227</v>
          </cell>
        </row>
        <row r="192">
          <cell r="D192">
            <v>138</v>
          </cell>
        </row>
        <row r="193">
          <cell r="D193">
            <v>38</v>
          </cell>
        </row>
        <row r="194">
          <cell r="D194">
            <v>-41</v>
          </cell>
        </row>
        <row r="195">
          <cell r="D195">
            <v>-107</v>
          </cell>
        </row>
        <row r="196">
          <cell r="D196">
            <v>115</v>
          </cell>
        </row>
        <row r="197">
          <cell r="D197">
            <v>-27</v>
          </cell>
        </row>
        <row r="198">
          <cell r="D198">
            <v>-81</v>
          </cell>
        </row>
        <row r="199">
          <cell r="D199">
            <v>-149</v>
          </cell>
        </row>
        <row r="200">
          <cell r="D200">
            <v>-73</v>
          </cell>
        </row>
        <row r="201">
          <cell r="D201">
            <v>-123</v>
          </cell>
        </row>
        <row r="202">
          <cell r="D202">
            <v>-124</v>
          </cell>
        </row>
        <row r="203">
          <cell r="D203">
            <v>-7</v>
          </cell>
        </row>
        <row r="204">
          <cell r="D204">
            <v>-29</v>
          </cell>
        </row>
        <row r="205">
          <cell r="D205">
            <v>22</v>
          </cell>
        </row>
        <row r="206">
          <cell r="D206">
            <v>-83</v>
          </cell>
        </row>
        <row r="207">
          <cell r="D207">
            <v>100</v>
          </cell>
        </row>
        <row r="208">
          <cell r="D208">
            <v>93</v>
          </cell>
        </row>
        <row r="209">
          <cell r="D209">
            <v>39</v>
          </cell>
        </row>
        <row r="210">
          <cell r="D210">
            <v>81</v>
          </cell>
        </row>
        <row r="211">
          <cell r="D211">
            <v>56</v>
          </cell>
        </row>
        <row r="212">
          <cell r="D212">
            <v>-189</v>
          </cell>
        </row>
        <row r="213">
          <cell r="D213">
            <v>27</v>
          </cell>
        </row>
        <row r="214">
          <cell r="D214">
            <v>-119</v>
          </cell>
        </row>
        <row r="215">
          <cell r="D215">
            <v>41</v>
          </cell>
        </row>
        <row r="216">
          <cell r="D216">
            <v>34</v>
          </cell>
        </row>
        <row r="217">
          <cell r="D217">
            <v>91</v>
          </cell>
        </row>
        <row r="218">
          <cell r="D218">
            <v>103</v>
          </cell>
        </row>
        <row r="219">
          <cell r="D219">
            <v>-10</v>
          </cell>
        </row>
        <row r="220">
          <cell r="D220">
            <v>32</v>
          </cell>
        </row>
        <row r="221">
          <cell r="D221">
            <v>-65</v>
          </cell>
        </row>
        <row r="222">
          <cell r="D222">
            <v>150</v>
          </cell>
        </row>
        <row r="223">
          <cell r="D223">
            <v>-98</v>
          </cell>
        </row>
        <row r="224">
          <cell r="D224">
            <v>-105</v>
          </cell>
        </row>
        <row r="225">
          <cell r="D225">
            <v>52</v>
          </cell>
        </row>
        <row r="226">
          <cell r="D226">
            <v>92</v>
          </cell>
        </row>
        <row r="227">
          <cell r="D227">
            <v>-172</v>
          </cell>
        </row>
        <row r="228">
          <cell r="D228">
            <v>44</v>
          </cell>
        </row>
        <row r="229">
          <cell r="D229">
            <v>101</v>
          </cell>
        </row>
        <row r="230">
          <cell r="D230">
            <v>160</v>
          </cell>
        </row>
        <row r="231">
          <cell r="D231">
            <v>-93</v>
          </cell>
        </row>
        <row r="232">
          <cell r="D232">
            <v>71</v>
          </cell>
        </row>
        <row r="233">
          <cell r="D233">
            <v>81</v>
          </cell>
        </row>
        <row r="234">
          <cell r="D234">
            <v>-67</v>
          </cell>
        </row>
        <row r="235">
          <cell r="D235">
            <v>64</v>
          </cell>
        </row>
        <row r="236">
          <cell r="D236">
            <v>0</v>
          </cell>
        </row>
        <row r="237">
          <cell r="D237">
            <v>-49</v>
          </cell>
        </row>
        <row r="238">
          <cell r="D238">
            <v>8</v>
          </cell>
        </row>
        <row r="239">
          <cell r="D239">
            <v>-73</v>
          </cell>
        </row>
        <row r="240">
          <cell r="D240">
            <v>-112</v>
          </cell>
        </row>
        <row r="241">
          <cell r="D241">
            <v>-66</v>
          </cell>
        </row>
        <row r="242">
          <cell r="D242">
            <v>85</v>
          </cell>
        </row>
        <row r="243">
          <cell r="D243">
            <v>-63</v>
          </cell>
        </row>
        <row r="244">
          <cell r="D244">
            <v>5</v>
          </cell>
        </row>
        <row r="245">
          <cell r="D245">
            <v>21</v>
          </cell>
        </row>
        <row r="246">
          <cell r="D246">
            <v>-65</v>
          </cell>
        </row>
        <row r="247">
          <cell r="D247">
            <v>-117</v>
          </cell>
        </row>
        <row r="248">
          <cell r="D248">
            <v>17</v>
          </cell>
        </row>
        <row r="249">
          <cell r="D249">
            <v>-78</v>
          </cell>
        </row>
        <row r="250">
          <cell r="D250">
            <v>-21</v>
          </cell>
        </row>
        <row r="251">
          <cell r="D251">
            <v>-110</v>
          </cell>
        </row>
        <row r="252">
          <cell r="D252">
            <v>-2</v>
          </cell>
        </row>
        <row r="253">
          <cell r="D253">
            <v>92</v>
          </cell>
        </row>
        <row r="254">
          <cell r="D254">
            <v>110</v>
          </cell>
        </row>
        <row r="255">
          <cell r="D255">
            <v>106</v>
          </cell>
        </row>
        <row r="256">
          <cell r="D256">
            <v>-130</v>
          </cell>
        </row>
        <row r="257">
          <cell r="D257">
            <v>112</v>
          </cell>
        </row>
        <row r="258">
          <cell r="D258">
            <v>28</v>
          </cell>
        </row>
        <row r="259">
          <cell r="D259">
            <v>-44</v>
          </cell>
        </row>
        <row r="260">
          <cell r="D260">
            <v>-134</v>
          </cell>
        </row>
        <row r="261">
          <cell r="D261">
            <v>-17</v>
          </cell>
        </row>
        <row r="262">
          <cell r="D262">
            <v>-289</v>
          </cell>
        </row>
        <row r="263">
          <cell r="D263">
            <v>-2</v>
          </cell>
        </row>
        <row r="264">
          <cell r="D264">
            <v>86</v>
          </cell>
        </row>
        <row r="265">
          <cell r="D265">
            <v>-86</v>
          </cell>
        </row>
        <row r="266">
          <cell r="D266">
            <v>-125</v>
          </cell>
        </row>
        <row r="267">
          <cell r="D267">
            <v>3</v>
          </cell>
        </row>
        <row r="268">
          <cell r="D268">
            <v>-148</v>
          </cell>
        </row>
        <row r="269">
          <cell r="D269">
            <v>95</v>
          </cell>
        </row>
        <row r="270">
          <cell r="D270">
            <v>-31</v>
          </cell>
        </row>
        <row r="271">
          <cell r="D271">
            <v>38</v>
          </cell>
        </row>
        <row r="272">
          <cell r="D272">
            <v>-88</v>
          </cell>
        </row>
        <row r="273">
          <cell r="D273">
            <v>-104</v>
          </cell>
        </row>
        <row r="274">
          <cell r="D274">
            <v>27</v>
          </cell>
        </row>
        <row r="275">
          <cell r="D275">
            <v>12</v>
          </cell>
        </row>
        <row r="276">
          <cell r="D276">
            <v>159</v>
          </cell>
        </row>
        <row r="277">
          <cell r="D277">
            <v>-44</v>
          </cell>
        </row>
        <row r="278">
          <cell r="D278">
            <v>-1</v>
          </cell>
        </row>
        <row r="279">
          <cell r="D279">
            <v>117</v>
          </cell>
        </row>
        <row r="280">
          <cell r="D280">
            <v>37</v>
          </cell>
        </row>
        <row r="281">
          <cell r="D281">
            <v>-47</v>
          </cell>
        </row>
        <row r="282">
          <cell r="D282">
            <v>21</v>
          </cell>
        </row>
        <row r="283">
          <cell r="D283">
            <v>-58</v>
          </cell>
        </row>
        <row r="284">
          <cell r="D284">
            <v>28</v>
          </cell>
        </row>
        <row r="285">
          <cell r="D285">
            <v>108</v>
          </cell>
        </row>
        <row r="286">
          <cell r="D286">
            <v>263</v>
          </cell>
        </row>
        <row r="287">
          <cell r="D287">
            <v>1</v>
          </cell>
        </row>
        <row r="288">
          <cell r="D288">
            <v>-119</v>
          </cell>
        </row>
        <row r="289">
          <cell r="D289">
            <v>93</v>
          </cell>
        </row>
        <row r="290">
          <cell r="D290">
            <v>64</v>
          </cell>
        </row>
        <row r="291">
          <cell r="D291">
            <v>-98</v>
          </cell>
        </row>
        <row r="292">
          <cell r="D292">
            <v>-18</v>
          </cell>
        </row>
        <row r="293">
          <cell r="D293">
            <v>45</v>
          </cell>
        </row>
        <row r="294">
          <cell r="D294">
            <v>-145</v>
          </cell>
        </row>
        <row r="295">
          <cell r="D295">
            <v>40</v>
          </cell>
        </row>
        <row r="296">
          <cell r="D296">
            <v>40</v>
          </cell>
        </row>
        <row r="297">
          <cell r="D297">
            <v>46</v>
          </cell>
        </row>
        <row r="298">
          <cell r="D298">
            <v>55</v>
          </cell>
        </row>
        <row r="299">
          <cell r="D299">
            <v>-95</v>
          </cell>
        </row>
        <row r="300">
          <cell r="D300">
            <v>-121</v>
          </cell>
        </row>
        <row r="301">
          <cell r="D301">
            <v>-43</v>
          </cell>
        </row>
        <row r="302">
          <cell r="D302">
            <v>-107</v>
          </cell>
        </row>
        <row r="303">
          <cell r="D303">
            <v>28</v>
          </cell>
        </row>
        <row r="304">
          <cell r="D304">
            <v>-8</v>
          </cell>
        </row>
        <row r="305">
          <cell r="D305">
            <v>-90</v>
          </cell>
        </row>
        <row r="306">
          <cell r="D306">
            <v>-133</v>
          </cell>
        </row>
        <row r="307">
          <cell r="D307">
            <v>-143</v>
          </cell>
        </row>
        <row r="308">
          <cell r="D308">
            <v>292</v>
          </cell>
        </row>
        <row r="309">
          <cell r="D309">
            <v>111</v>
          </cell>
        </row>
        <row r="310">
          <cell r="D310">
            <v>-114</v>
          </cell>
        </row>
        <row r="311">
          <cell r="D311">
            <v>-64</v>
          </cell>
        </row>
        <row r="312">
          <cell r="D312">
            <v>-9</v>
          </cell>
        </row>
        <row r="313">
          <cell r="D313">
            <v>176</v>
          </cell>
        </row>
        <row r="314">
          <cell r="D314">
            <v>23</v>
          </cell>
        </row>
        <row r="315">
          <cell r="D315">
            <v>-137</v>
          </cell>
        </row>
        <row r="316">
          <cell r="D316">
            <v>18</v>
          </cell>
        </row>
        <row r="317">
          <cell r="D317">
            <v>-17</v>
          </cell>
        </row>
        <row r="318">
          <cell r="D318">
            <v>63</v>
          </cell>
        </row>
        <row r="319">
          <cell r="D319">
            <v>-56</v>
          </cell>
        </row>
        <row r="320">
          <cell r="D320">
            <v>-173</v>
          </cell>
        </row>
        <row r="321">
          <cell r="D321">
            <v>42</v>
          </cell>
        </row>
        <row r="322">
          <cell r="D322">
            <v>-1</v>
          </cell>
        </row>
        <row r="323">
          <cell r="D323">
            <v>-13</v>
          </cell>
        </row>
        <row r="324">
          <cell r="D324">
            <v>-31</v>
          </cell>
        </row>
        <row r="325">
          <cell r="D325">
            <v>-65</v>
          </cell>
        </row>
        <row r="326">
          <cell r="D326">
            <v>20</v>
          </cell>
        </row>
        <row r="327">
          <cell r="D327">
            <v>-42</v>
          </cell>
        </row>
        <row r="328">
          <cell r="D328">
            <v>-64</v>
          </cell>
        </row>
        <row r="329">
          <cell r="D329">
            <v>-117</v>
          </cell>
        </row>
        <row r="330">
          <cell r="D330">
            <v>-204</v>
          </cell>
        </row>
        <row r="331">
          <cell r="D331">
            <v>-7</v>
          </cell>
        </row>
        <row r="332">
          <cell r="D332">
            <v>-174</v>
          </cell>
        </row>
        <row r="333">
          <cell r="D333">
            <v>21</v>
          </cell>
        </row>
        <row r="334">
          <cell r="D334">
            <v>50</v>
          </cell>
        </row>
        <row r="335">
          <cell r="D335">
            <v>31</v>
          </cell>
        </row>
        <row r="336">
          <cell r="D336">
            <v>22</v>
          </cell>
        </row>
        <row r="337">
          <cell r="D337">
            <v>-36</v>
          </cell>
        </row>
        <row r="338">
          <cell r="D338">
            <v>100</v>
          </cell>
        </row>
        <row r="339">
          <cell r="D339">
            <v>76</v>
          </cell>
        </row>
        <row r="340">
          <cell r="D340">
            <v>-17</v>
          </cell>
        </row>
        <row r="341">
          <cell r="D341">
            <v>81</v>
          </cell>
        </row>
        <row r="342">
          <cell r="D342">
            <v>-119</v>
          </cell>
        </row>
        <row r="343">
          <cell r="D343">
            <v>159</v>
          </cell>
        </row>
        <row r="344">
          <cell r="D344">
            <v>-58</v>
          </cell>
        </row>
        <row r="345">
          <cell r="D345">
            <v>-20</v>
          </cell>
        </row>
        <row r="346">
          <cell r="D346">
            <v>79</v>
          </cell>
        </row>
        <row r="347">
          <cell r="D347">
            <v>25</v>
          </cell>
        </row>
        <row r="348">
          <cell r="D348">
            <v>114</v>
          </cell>
        </row>
        <row r="349">
          <cell r="D349">
            <v>29</v>
          </cell>
        </row>
        <row r="350">
          <cell r="D350">
            <v>-38</v>
          </cell>
        </row>
        <row r="351">
          <cell r="D351">
            <v>-16</v>
          </cell>
        </row>
        <row r="352">
          <cell r="D352">
            <v>-20</v>
          </cell>
        </row>
        <row r="353">
          <cell r="D353">
            <v>67</v>
          </cell>
        </row>
        <row r="354">
          <cell r="D354">
            <v>181</v>
          </cell>
        </row>
        <row r="355">
          <cell r="D355">
            <v>-152</v>
          </cell>
        </row>
        <row r="356">
          <cell r="D356">
            <v>22</v>
          </cell>
        </row>
        <row r="357">
          <cell r="D357">
            <v>-126</v>
          </cell>
        </row>
        <row r="358">
          <cell r="D358">
            <v>-58</v>
          </cell>
        </row>
        <row r="359">
          <cell r="D359">
            <v>50</v>
          </cell>
        </row>
        <row r="360">
          <cell r="D360">
            <v>-67</v>
          </cell>
        </row>
        <row r="361">
          <cell r="D361">
            <v>142</v>
          </cell>
        </row>
        <row r="362">
          <cell r="D362">
            <v>67</v>
          </cell>
        </row>
        <row r="363">
          <cell r="D363">
            <v>40</v>
          </cell>
        </row>
        <row r="364">
          <cell r="D364">
            <v>8</v>
          </cell>
        </row>
        <row r="365">
          <cell r="D365">
            <v>-15</v>
          </cell>
        </row>
        <row r="366">
          <cell r="D366">
            <v>-97</v>
          </cell>
        </row>
        <row r="367">
          <cell r="D367">
            <v>-63</v>
          </cell>
        </row>
        <row r="368">
          <cell r="D368">
            <v>16</v>
          </cell>
        </row>
        <row r="369">
          <cell r="D369">
            <v>156</v>
          </cell>
        </row>
        <row r="370">
          <cell r="D370">
            <v>-83</v>
          </cell>
        </row>
        <row r="371">
          <cell r="D371">
            <v>91</v>
          </cell>
        </row>
        <row r="372">
          <cell r="D372">
            <v>63</v>
          </cell>
        </row>
        <row r="373">
          <cell r="D373">
            <v>62</v>
          </cell>
        </row>
        <row r="374">
          <cell r="D374">
            <v>204</v>
          </cell>
        </row>
        <row r="375">
          <cell r="D375">
            <v>83</v>
          </cell>
        </row>
        <row r="376">
          <cell r="D376">
            <v>-50</v>
          </cell>
        </row>
        <row r="377">
          <cell r="D377">
            <v>-18</v>
          </cell>
        </row>
        <row r="378">
          <cell r="D378">
            <v>-146</v>
          </cell>
        </row>
        <row r="379">
          <cell r="D379">
            <v>54</v>
          </cell>
        </row>
        <row r="380">
          <cell r="D380">
            <v>102</v>
          </cell>
        </row>
        <row r="381">
          <cell r="D381">
            <v>80</v>
          </cell>
        </row>
        <row r="382">
          <cell r="D382">
            <v>-61</v>
          </cell>
        </row>
        <row r="383">
          <cell r="D383">
            <v>45</v>
          </cell>
        </row>
        <row r="384">
          <cell r="D384">
            <v>3</v>
          </cell>
        </row>
        <row r="385">
          <cell r="D385">
            <v>120</v>
          </cell>
        </row>
        <row r="386">
          <cell r="D386">
            <v>28</v>
          </cell>
        </row>
        <row r="387">
          <cell r="D387">
            <v>174</v>
          </cell>
        </row>
        <row r="388">
          <cell r="D388">
            <v>82</v>
          </cell>
        </row>
        <row r="389">
          <cell r="D389">
            <v>58</v>
          </cell>
        </row>
        <row r="390">
          <cell r="D390">
            <v>14</v>
          </cell>
        </row>
        <row r="391">
          <cell r="D391">
            <v>9</v>
          </cell>
        </row>
        <row r="392">
          <cell r="D392">
            <v>140</v>
          </cell>
        </row>
        <row r="393">
          <cell r="D393">
            <v>-54</v>
          </cell>
        </row>
        <row r="394">
          <cell r="D394">
            <v>-192</v>
          </cell>
        </row>
        <row r="395">
          <cell r="D395">
            <v>58</v>
          </cell>
        </row>
        <row r="396">
          <cell r="D396">
            <v>67</v>
          </cell>
        </row>
        <row r="397">
          <cell r="D397">
            <v>198</v>
          </cell>
        </row>
        <row r="398">
          <cell r="D398">
            <v>81</v>
          </cell>
        </row>
        <row r="399">
          <cell r="D399">
            <v>-12</v>
          </cell>
        </row>
        <row r="400">
          <cell r="D400">
            <v>-8</v>
          </cell>
        </row>
        <row r="401">
          <cell r="D401">
            <v>8</v>
          </cell>
        </row>
        <row r="402">
          <cell r="D402">
            <v>57</v>
          </cell>
        </row>
        <row r="403">
          <cell r="D403">
            <v>-5</v>
          </cell>
        </row>
        <row r="404">
          <cell r="D404">
            <v>15</v>
          </cell>
        </row>
        <row r="405">
          <cell r="D405">
            <v>-57</v>
          </cell>
        </row>
        <row r="406">
          <cell r="D406">
            <v>-15</v>
          </cell>
        </row>
        <row r="407">
          <cell r="D407">
            <v>-18</v>
          </cell>
        </row>
        <row r="408">
          <cell r="D408">
            <v>-104</v>
          </cell>
        </row>
        <row r="409">
          <cell r="D409">
            <v>116</v>
          </cell>
        </row>
        <row r="410">
          <cell r="D410">
            <v>22</v>
          </cell>
        </row>
        <row r="411">
          <cell r="D411">
            <v>-98</v>
          </cell>
        </row>
        <row r="412">
          <cell r="D412">
            <v>43</v>
          </cell>
        </row>
        <row r="413">
          <cell r="D413">
            <v>26</v>
          </cell>
        </row>
        <row r="414">
          <cell r="D414">
            <v>1</v>
          </cell>
        </row>
        <row r="415">
          <cell r="D415">
            <v>248</v>
          </cell>
        </row>
        <row r="416">
          <cell r="D416">
            <v>158</v>
          </cell>
        </row>
        <row r="417">
          <cell r="D417">
            <v>-74</v>
          </cell>
        </row>
        <row r="418">
          <cell r="D418">
            <v>55</v>
          </cell>
        </row>
        <row r="419">
          <cell r="D419">
            <v>119</v>
          </cell>
        </row>
        <row r="420">
          <cell r="D420">
            <v>106</v>
          </cell>
        </row>
        <row r="421">
          <cell r="D421">
            <v>-129</v>
          </cell>
        </row>
        <row r="422">
          <cell r="D422">
            <v>16</v>
          </cell>
        </row>
        <row r="423">
          <cell r="D423">
            <v>179</v>
          </cell>
        </row>
        <row r="424">
          <cell r="D424">
            <v>-43</v>
          </cell>
        </row>
        <row r="425">
          <cell r="D425">
            <v>-3</v>
          </cell>
        </row>
        <row r="426">
          <cell r="D426">
            <v>-87</v>
          </cell>
        </row>
        <row r="427">
          <cell r="D427">
            <v>-178</v>
          </cell>
        </row>
        <row r="428">
          <cell r="D428">
            <v>-21</v>
          </cell>
        </row>
        <row r="429">
          <cell r="D429">
            <v>-76</v>
          </cell>
        </row>
        <row r="430">
          <cell r="D430">
            <v>135</v>
          </cell>
        </row>
        <row r="431">
          <cell r="D431">
            <v>-102</v>
          </cell>
        </row>
        <row r="432">
          <cell r="D432">
            <v>146</v>
          </cell>
        </row>
        <row r="433">
          <cell r="D433">
            <v>23</v>
          </cell>
        </row>
        <row r="434">
          <cell r="D434">
            <v>-8</v>
          </cell>
        </row>
        <row r="435">
          <cell r="D435">
            <v>-82</v>
          </cell>
        </row>
        <row r="436">
          <cell r="D436">
            <v>-19</v>
          </cell>
        </row>
        <row r="437">
          <cell r="D437">
            <v>26</v>
          </cell>
        </row>
        <row r="438">
          <cell r="D438">
            <v>106</v>
          </cell>
        </row>
        <row r="439">
          <cell r="D439">
            <v>74</v>
          </cell>
        </row>
        <row r="440">
          <cell r="D440">
            <v>-3</v>
          </cell>
        </row>
        <row r="441">
          <cell r="D441">
            <v>22</v>
          </cell>
        </row>
        <row r="442">
          <cell r="D442">
            <v>86</v>
          </cell>
        </row>
        <row r="443">
          <cell r="D443">
            <v>50</v>
          </cell>
        </row>
        <row r="444">
          <cell r="D444">
            <v>-23</v>
          </cell>
        </row>
        <row r="445">
          <cell r="D445">
            <v>-72</v>
          </cell>
        </row>
        <row r="446">
          <cell r="D446">
            <v>-112</v>
          </cell>
        </row>
        <row r="447">
          <cell r="D447">
            <v>48</v>
          </cell>
        </row>
        <row r="448">
          <cell r="D448">
            <v>-81</v>
          </cell>
        </row>
        <row r="449">
          <cell r="D449">
            <v>26</v>
          </cell>
        </row>
        <row r="450">
          <cell r="D450">
            <v>23</v>
          </cell>
        </row>
        <row r="451">
          <cell r="D451">
            <v>134</v>
          </cell>
        </row>
        <row r="452">
          <cell r="D452">
            <v>160</v>
          </cell>
        </row>
        <row r="453">
          <cell r="D453">
            <v>50</v>
          </cell>
        </row>
        <row r="454">
          <cell r="D454">
            <v>63</v>
          </cell>
        </row>
        <row r="455">
          <cell r="D455">
            <v>-169</v>
          </cell>
        </row>
        <row r="456">
          <cell r="D456">
            <v>79</v>
          </cell>
        </row>
        <row r="457">
          <cell r="D457">
            <v>19</v>
          </cell>
        </row>
        <row r="458">
          <cell r="D458">
            <v>-21</v>
          </cell>
        </row>
        <row r="459">
          <cell r="D459">
            <v>-109</v>
          </cell>
        </row>
        <row r="460">
          <cell r="D460">
            <v>-160</v>
          </cell>
        </row>
        <row r="461">
          <cell r="D461">
            <v>-246</v>
          </cell>
        </row>
        <row r="462">
          <cell r="D462">
            <v>-46</v>
          </cell>
        </row>
        <row r="463">
          <cell r="D463">
            <v>67</v>
          </cell>
        </row>
        <row r="464">
          <cell r="D464">
            <v>-97</v>
          </cell>
        </row>
        <row r="465">
          <cell r="D465">
            <v>-27</v>
          </cell>
        </row>
        <row r="466">
          <cell r="D466">
            <v>-63</v>
          </cell>
        </row>
        <row r="467">
          <cell r="D467">
            <v>-99</v>
          </cell>
        </row>
        <row r="468">
          <cell r="D468">
            <v>-105</v>
          </cell>
        </row>
        <row r="469">
          <cell r="D469">
            <v>44</v>
          </cell>
        </row>
        <row r="470">
          <cell r="D470">
            <v>77</v>
          </cell>
        </row>
        <row r="471">
          <cell r="D471">
            <v>-10</v>
          </cell>
        </row>
        <row r="472">
          <cell r="D472">
            <v>88</v>
          </cell>
        </row>
        <row r="473">
          <cell r="D473">
            <v>-72</v>
          </cell>
        </row>
        <row r="474">
          <cell r="D474">
            <v>146</v>
          </cell>
        </row>
        <row r="475">
          <cell r="D475">
            <v>65</v>
          </cell>
        </row>
        <row r="476">
          <cell r="D476">
            <v>119</v>
          </cell>
        </row>
        <row r="477">
          <cell r="D477">
            <v>-9</v>
          </cell>
        </row>
        <row r="478">
          <cell r="D478">
            <v>-248</v>
          </cell>
        </row>
        <row r="479">
          <cell r="D479">
            <v>-71</v>
          </cell>
        </row>
        <row r="480">
          <cell r="D480">
            <v>-137</v>
          </cell>
        </row>
        <row r="481">
          <cell r="D481">
            <v>-27</v>
          </cell>
        </row>
        <row r="482">
          <cell r="D482">
            <v>94</v>
          </cell>
        </row>
        <row r="483">
          <cell r="D483">
            <v>97</v>
          </cell>
        </row>
        <row r="484">
          <cell r="D484">
            <v>-90</v>
          </cell>
        </row>
        <row r="485">
          <cell r="D485">
            <v>39</v>
          </cell>
        </row>
        <row r="486">
          <cell r="D486">
            <v>2</v>
          </cell>
        </row>
        <row r="487">
          <cell r="D487">
            <v>7</v>
          </cell>
        </row>
        <row r="488">
          <cell r="D488">
            <v>-60</v>
          </cell>
        </row>
        <row r="489">
          <cell r="D489">
            <v>193</v>
          </cell>
        </row>
        <row r="490">
          <cell r="D490">
            <v>189</v>
          </cell>
        </row>
        <row r="491">
          <cell r="D491">
            <v>-37</v>
          </cell>
        </row>
        <row r="492">
          <cell r="D492">
            <v>24</v>
          </cell>
        </row>
        <row r="493">
          <cell r="D493">
            <v>9</v>
          </cell>
        </row>
        <row r="494">
          <cell r="D494">
            <v>103</v>
          </cell>
        </row>
        <row r="495">
          <cell r="D495">
            <v>100</v>
          </cell>
        </row>
        <row r="496">
          <cell r="D496">
            <v>100</v>
          </cell>
        </row>
        <row r="497">
          <cell r="D497">
            <v>132</v>
          </cell>
        </row>
        <row r="498">
          <cell r="D498">
            <v>168</v>
          </cell>
        </row>
        <row r="499">
          <cell r="D499">
            <v>87</v>
          </cell>
        </row>
        <row r="500">
          <cell r="D500">
            <v>-32</v>
          </cell>
        </row>
        <row r="501">
          <cell r="D501">
            <v>118</v>
          </cell>
        </row>
        <row r="502">
          <cell r="D502">
            <v>-42</v>
          </cell>
        </row>
        <row r="503">
          <cell r="D503">
            <v>-204</v>
          </cell>
        </row>
        <row r="504">
          <cell r="D504">
            <v>83</v>
          </cell>
        </row>
        <row r="505">
          <cell r="D505">
            <v>-230</v>
          </cell>
        </row>
        <row r="506">
          <cell r="D506">
            <v>-103</v>
          </cell>
        </row>
        <row r="507">
          <cell r="D507">
            <v>-122</v>
          </cell>
        </row>
        <row r="508">
          <cell r="D508">
            <v>-77</v>
          </cell>
        </row>
        <row r="509">
          <cell r="D509">
            <v>-48</v>
          </cell>
        </row>
        <row r="510">
          <cell r="D510">
            <v>-168</v>
          </cell>
        </row>
        <row r="511">
          <cell r="D511">
            <v>53</v>
          </cell>
        </row>
        <row r="512">
          <cell r="D512">
            <v>10</v>
          </cell>
        </row>
        <row r="513">
          <cell r="D513">
            <v>47</v>
          </cell>
        </row>
        <row r="514">
          <cell r="D514">
            <v>-128</v>
          </cell>
        </row>
        <row r="515">
          <cell r="D515">
            <v>-72</v>
          </cell>
        </row>
        <row r="516">
          <cell r="D516">
            <v>-118</v>
          </cell>
        </row>
        <row r="517">
          <cell r="D517">
            <v>28</v>
          </cell>
        </row>
        <row r="518">
          <cell r="D518">
            <v>125</v>
          </cell>
        </row>
        <row r="519">
          <cell r="D519">
            <v>223</v>
          </cell>
        </row>
        <row r="520">
          <cell r="D520">
            <v>182</v>
          </cell>
        </row>
        <row r="521">
          <cell r="D521">
            <v>125</v>
          </cell>
        </row>
        <row r="522">
          <cell r="D522">
            <v>-186</v>
          </cell>
        </row>
        <row r="523">
          <cell r="D523">
            <v>-72</v>
          </cell>
        </row>
        <row r="524">
          <cell r="D524">
            <v>27</v>
          </cell>
        </row>
        <row r="525">
          <cell r="D525">
            <v>114</v>
          </cell>
        </row>
        <row r="526">
          <cell r="D526">
            <v>-205</v>
          </cell>
        </row>
        <row r="527">
          <cell r="D527">
            <v>-15</v>
          </cell>
        </row>
        <row r="528">
          <cell r="D528">
            <v>46</v>
          </cell>
        </row>
        <row r="529">
          <cell r="D529">
            <v>76</v>
          </cell>
        </row>
        <row r="530">
          <cell r="D530">
            <v>-37</v>
          </cell>
        </row>
        <row r="531">
          <cell r="D531">
            <v>-169</v>
          </cell>
        </row>
        <row r="532">
          <cell r="D532">
            <v>-81</v>
          </cell>
        </row>
        <row r="533">
          <cell r="D533">
            <v>2</v>
          </cell>
        </row>
        <row r="534">
          <cell r="D534">
            <v>-18</v>
          </cell>
        </row>
        <row r="535">
          <cell r="D535">
            <v>-132</v>
          </cell>
        </row>
        <row r="536">
          <cell r="D536">
            <v>56</v>
          </cell>
        </row>
        <row r="537">
          <cell r="D537">
            <v>30</v>
          </cell>
        </row>
        <row r="538">
          <cell r="D538">
            <v>-108</v>
          </cell>
        </row>
        <row r="539">
          <cell r="D539">
            <v>197</v>
          </cell>
        </row>
        <row r="540">
          <cell r="D540">
            <v>-45</v>
          </cell>
        </row>
        <row r="541">
          <cell r="D541">
            <v>56</v>
          </cell>
        </row>
        <row r="542">
          <cell r="D542">
            <v>170</v>
          </cell>
        </row>
        <row r="543">
          <cell r="D543">
            <v>21</v>
          </cell>
        </row>
        <row r="544">
          <cell r="D544">
            <v>-149</v>
          </cell>
        </row>
        <row r="545">
          <cell r="D545">
            <v>-139</v>
          </cell>
        </row>
        <row r="546">
          <cell r="D546">
            <v>103</v>
          </cell>
        </row>
        <row r="547">
          <cell r="D547">
            <v>93</v>
          </cell>
        </row>
        <row r="548">
          <cell r="D548">
            <v>143</v>
          </cell>
        </row>
        <row r="549">
          <cell r="D549">
            <v>231</v>
          </cell>
        </row>
        <row r="550">
          <cell r="D550">
            <v>-59</v>
          </cell>
        </row>
        <row r="551">
          <cell r="D551">
            <v>75</v>
          </cell>
        </row>
        <row r="552">
          <cell r="D552">
            <v>150</v>
          </cell>
        </row>
        <row r="553">
          <cell r="D553">
            <v>56</v>
          </cell>
        </row>
        <row r="554">
          <cell r="D554">
            <v>-26</v>
          </cell>
        </row>
        <row r="555">
          <cell r="D555">
            <v>118</v>
          </cell>
        </row>
        <row r="556">
          <cell r="D556">
            <v>-72</v>
          </cell>
        </row>
        <row r="557">
          <cell r="D557">
            <v>132</v>
          </cell>
        </row>
        <row r="558">
          <cell r="D558">
            <v>-185</v>
          </cell>
        </row>
        <row r="559">
          <cell r="D559">
            <v>-73</v>
          </cell>
        </row>
        <row r="560">
          <cell r="D560">
            <v>1</v>
          </cell>
        </row>
        <row r="561">
          <cell r="D561">
            <v>51</v>
          </cell>
        </row>
        <row r="562">
          <cell r="D562">
            <v>3</v>
          </cell>
        </row>
        <row r="563">
          <cell r="D563">
            <v>43</v>
          </cell>
        </row>
        <row r="564">
          <cell r="D564">
            <v>-35</v>
          </cell>
        </row>
        <row r="565">
          <cell r="D565">
            <v>69</v>
          </cell>
        </row>
        <row r="566">
          <cell r="D566">
            <v>129</v>
          </cell>
        </row>
        <row r="567">
          <cell r="D567">
            <v>64</v>
          </cell>
        </row>
        <row r="568">
          <cell r="D568">
            <v>19</v>
          </cell>
        </row>
        <row r="569">
          <cell r="D569">
            <v>-160</v>
          </cell>
        </row>
        <row r="570">
          <cell r="D570">
            <v>15</v>
          </cell>
        </row>
        <row r="571">
          <cell r="D571">
            <v>57</v>
          </cell>
        </row>
        <row r="572">
          <cell r="D572">
            <v>-62</v>
          </cell>
        </row>
        <row r="573">
          <cell r="D573">
            <v>-48</v>
          </cell>
        </row>
        <row r="574">
          <cell r="D574">
            <v>-83</v>
          </cell>
        </row>
        <row r="575">
          <cell r="D575">
            <v>14</v>
          </cell>
        </row>
        <row r="576">
          <cell r="D576">
            <v>82</v>
          </cell>
        </row>
        <row r="577">
          <cell r="D577">
            <v>-115</v>
          </cell>
        </row>
        <row r="578">
          <cell r="D578">
            <v>21</v>
          </cell>
        </row>
        <row r="579">
          <cell r="D579">
            <v>212</v>
          </cell>
        </row>
        <row r="580">
          <cell r="D580">
            <v>20</v>
          </cell>
        </row>
        <row r="581">
          <cell r="D581">
            <v>100</v>
          </cell>
        </row>
        <row r="582">
          <cell r="D582">
            <v>85</v>
          </cell>
        </row>
        <row r="583">
          <cell r="D583">
            <v>16</v>
          </cell>
        </row>
        <row r="584">
          <cell r="D584">
            <v>-111</v>
          </cell>
        </row>
        <row r="585">
          <cell r="D585">
            <v>118</v>
          </cell>
        </row>
        <row r="586">
          <cell r="D586">
            <v>46</v>
          </cell>
        </row>
        <row r="587">
          <cell r="D587">
            <v>-87</v>
          </cell>
        </row>
        <row r="588">
          <cell r="D588">
            <v>230</v>
          </cell>
        </row>
        <row r="589">
          <cell r="D589">
            <v>159</v>
          </cell>
        </row>
        <row r="590">
          <cell r="D590">
            <v>70</v>
          </cell>
        </row>
        <row r="591">
          <cell r="D591">
            <v>-46</v>
          </cell>
        </row>
        <row r="592">
          <cell r="D592">
            <v>-145</v>
          </cell>
        </row>
        <row r="593">
          <cell r="D593">
            <v>-30</v>
          </cell>
        </row>
        <row r="594">
          <cell r="D594">
            <v>-11</v>
          </cell>
        </row>
        <row r="595">
          <cell r="D595">
            <v>74</v>
          </cell>
        </row>
        <row r="596">
          <cell r="D596">
            <v>-46</v>
          </cell>
        </row>
        <row r="597">
          <cell r="D597">
            <v>68</v>
          </cell>
        </row>
        <row r="598">
          <cell r="D598">
            <v>-79</v>
          </cell>
        </row>
        <row r="599">
          <cell r="D599">
            <v>-9</v>
          </cell>
        </row>
        <row r="600">
          <cell r="D600">
            <v>50</v>
          </cell>
        </row>
        <row r="601">
          <cell r="D601">
            <v>57</v>
          </cell>
        </row>
        <row r="602">
          <cell r="D602">
            <v>32</v>
          </cell>
        </row>
        <row r="603">
          <cell r="D603">
            <v>21</v>
          </cell>
        </row>
        <row r="604">
          <cell r="D604">
            <v>-128</v>
          </cell>
        </row>
        <row r="605">
          <cell r="D605">
            <v>-24</v>
          </cell>
        </row>
        <row r="606">
          <cell r="D606">
            <v>33</v>
          </cell>
        </row>
        <row r="607">
          <cell r="D607">
            <v>-19</v>
          </cell>
        </row>
        <row r="608">
          <cell r="D608">
            <v>141</v>
          </cell>
        </row>
        <row r="609">
          <cell r="D609">
            <v>14</v>
          </cell>
        </row>
        <row r="610">
          <cell r="D610">
            <v>-176</v>
          </cell>
        </row>
        <row r="611">
          <cell r="D611">
            <v>-78</v>
          </cell>
        </row>
        <row r="612">
          <cell r="D612">
            <v>-19</v>
          </cell>
        </row>
        <row r="613">
          <cell r="D613">
            <v>39</v>
          </cell>
        </row>
        <row r="614">
          <cell r="D614">
            <v>-67</v>
          </cell>
        </row>
        <row r="615">
          <cell r="D615">
            <v>-18</v>
          </cell>
        </row>
        <row r="616">
          <cell r="D616">
            <v>-90</v>
          </cell>
        </row>
        <row r="617">
          <cell r="D617">
            <v>-121</v>
          </cell>
        </row>
        <row r="618">
          <cell r="D618">
            <v>166</v>
          </cell>
        </row>
        <row r="619">
          <cell r="D619">
            <v>24</v>
          </cell>
        </row>
        <row r="620">
          <cell r="D620">
            <v>-7</v>
          </cell>
        </row>
        <row r="621">
          <cell r="D621">
            <v>137</v>
          </cell>
        </row>
        <row r="622">
          <cell r="D622">
            <v>-97</v>
          </cell>
        </row>
        <row r="623">
          <cell r="D623">
            <v>-284</v>
          </cell>
        </row>
        <row r="624">
          <cell r="D624">
            <v>9</v>
          </cell>
        </row>
        <row r="625">
          <cell r="D625">
            <v>87</v>
          </cell>
        </row>
        <row r="626">
          <cell r="D626">
            <v>-49</v>
          </cell>
        </row>
        <row r="627">
          <cell r="D627">
            <v>134</v>
          </cell>
        </row>
        <row r="628">
          <cell r="D628">
            <v>-4</v>
          </cell>
        </row>
        <row r="629">
          <cell r="D629">
            <v>-143</v>
          </cell>
        </row>
        <row r="630">
          <cell r="D630">
            <v>65</v>
          </cell>
        </row>
        <row r="631">
          <cell r="D631">
            <v>79</v>
          </cell>
        </row>
        <row r="632">
          <cell r="D632">
            <v>-29</v>
          </cell>
        </row>
        <row r="633">
          <cell r="D633">
            <v>41</v>
          </cell>
        </row>
        <row r="634">
          <cell r="D634">
            <v>211</v>
          </cell>
        </row>
        <row r="635">
          <cell r="D635">
            <v>3</v>
          </cell>
        </row>
        <row r="636">
          <cell r="D636">
            <v>107</v>
          </cell>
        </row>
        <row r="637">
          <cell r="D637">
            <v>2</v>
          </cell>
        </row>
        <row r="638">
          <cell r="D638">
            <v>-31</v>
          </cell>
        </row>
        <row r="639">
          <cell r="D639">
            <v>147</v>
          </cell>
        </row>
        <row r="640">
          <cell r="D640">
            <v>82</v>
          </cell>
        </row>
        <row r="641">
          <cell r="D641">
            <v>-44</v>
          </cell>
        </row>
        <row r="642">
          <cell r="D642">
            <v>98</v>
          </cell>
        </row>
        <row r="643">
          <cell r="D643">
            <v>-57</v>
          </cell>
        </row>
        <row r="644">
          <cell r="D644">
            <v>-71</v>
          </cell>
        </row>
        <row r="645">
          <cell r="D645">
            <v>-140</v>
          </cell>
        </row>
        <row r="646">
          <cell r="D646">
            <v>-6</v>
          </cell>
        </row>
        <row r="647">
          <cell r="D647">
            <v>-90</v>
          </cell>
        </row>
        <row r="648">
          <cell r="D648">
            <v>-133</v>
          </cell>
        </row>
        <row r="649">
          <cell r="D649">
            <v>107</v>
          </cell>
        </row>
        <row r="650">
          <cell r="D650">
            <v>5</v>
          </cell>
        </row>
        <row r="651">
          <cell r="D651">
            <v>57</v>
          </cell>
        </row>
        <row r="652">
          <cell r="D652">
            <v>70</v>
          </cell>
        </row>
        <row r="653">
          <cell r="D653">
            <v>-17</v>
          </cell>
        </row>
        <row r="654">
          <cell r="D654">
            <v>1</v>
          </cell>
        </row>
        <row r="655">
          <cell r="D655">
            <v>77</v>
          </cell>
        </row>
        <row r="656">
          <cell r="D656">
            <v>18</v>
          </cell>
        </row>
        <row r="657">
          <cell r="D657">
            <v>-120</v>
          </cell>
        </row>
        <row r="658">
          <cell r="D658">
            <v>-208</v>
          </cell>
        </row>
        <row r="659">
          <cell r="D659">
            <v>40</v>
          </cell>
        </row>
        <row r="660">
          <cell r="D660">
            <v>18</v>
          </cell>
        </row>
        <row r="661">
          <cell r="D661">
            <v>80</v>
          </cell>
        </row>
        <row r="662">
          <cell r="D662">
            <v>-61</v>
          </cell>
        </row>
        <row r="663">
          <cell r="D663">
            <v>-19</v>
          </cell>
        </row>
        <row r="664">
          <cell r="D664">
            <v>120</v>
          </cell>
        </row>
        <row r="665">
          <cell r="D665">
            <v>-86</v>
          </cell>
        </row>
        <row r="666">
          <cell r="D666">
            <v>-75</v>
          </cell>
        </row>
        <row r="667">
          <cell r="D667">
            <v>123</v>
          </cell>
        </row>
        <row r="668">
          <cell r="D668">
            <v>-2</v>
          </cell>
        </row>
        <row r="669">
          <cell r="D669">
            <v>-81</v>
          </cell>
        </row>
        <row r="670">
          <cell r="D670">
            <v>-84</v>
          </cell>
        </row>
        <row r="671">
          <cell r="D671">
            <v>-46</v>
          </cell>
        </row>
        <row r="672">
          <cell r="D672">
            <v>72</v>
          </cell>
        </row>
        <row r="673">
          <cell r="D673">
            <v>4</v>
          </cell>
        </row>
        <row r="674">
          <cell r="D674">
            <v>-72</v>
          </cell>
        </row>
        <row r="675">
          <cell r="D675">
            <v>111</v>
          </cell>
        </row>
        <row r="676">
          <cell r="D676">
            <v>-25</v>
          </cell>
        </row>
        <row r="677">
          <cell r="D677">
            <v>-55</v>
          </cell>
        </row>
        <row r="678">
          <cell r="D678">
            <v>123</v>
          </cell>
        </row>
        <row r="679">
          <cell r="D679">
            <v>-84</v>
          </cell>
        </row>
        <row r="680">
          <cell r="D680">
            <v>-17</v>
          </cell>
        </row>
        <row r="681">
          <cell r="D681">
            <v>-116</v>
          </cell>
        </row>
        <row r="682">
          <cell r="D682">
            <v>119</v>
          </cell>
        </row>
        <row r="683">
          <cell r="D683">
            <v>-60</v>
          </cell>
        </row>
        <row r="684">
          <cell r="D684">
            <v>18</v>
          </cell>
        </row>
        <row r="685">
          <cell r="D685">
            <v>12</v>
          </cell>
        </row>
        <row r="686">
          <cell r="D686">
            <v>-31</v>
          </cell>
        </row>
        <row r="687">
          <cell r="D687">
            <v>-45</v>
          </cell>
        </row>
        <row r="688">
          <cell r="D688">
            <v>8</v>
          </cell>
        </row>
        <row r="689">
          <cell r="D689">
            <v>16</v>
          </cell>
        </row>
        <row r="690">
          <cell r="D690">
            <v>97</v>
          </cell>
        </row>
        <row r="691">
          <cell r="D691">
            <v>29</v>
          </cell>
        </row>
        <row r="692">
          <cell r="D692">
            <v>-84</v>
          </cell>
        </row>
        <row r="693">
          <cell r="D693">
            <v>-16</v>
          </cell>
        </row>
        <row r="694">
          <cell r="D694">
            <v>-57</v>
          </cell>
        </row>
        <row r="695">
          <cell r="D695">
            <v>64</v>
          </cell>
        </row>
        <row r="696">
          <cell r="D696">
            <v>65</v>
          </cell>
        </row>
        <row r="697">
          <cell r="D697">
            <v>-56</v>
          </cell>
        </row>
        <row r="698">
          <cell r="D698">
            <v>-136</v>
          </cell>
        </row>
        <row r="699">
          <cell r="D699">
            <v>-110</v>
          </cell>
        </row>
        <row r="700">
          <cell r="D700">
            <v>-16</v>
          </cell>
        </row>
        <row r="701">
          <cell r="D701">
            <v>67</v>
          </cell>
        </row>
        <row r="702">
          <cell r="D702">
            <v>-27</v>
          </cell>
        </row>
        <row r="703">
          <cell r="D703">
            <v>-66</v>
          </cell>
        </row>
        <row r="704">
          <cell r="D704">
            <v>-2</v>
          </cell>
        </row>
        <row r="705">
          <cell r="D705">
            <v>-53</v>
          </cell>
        </row>
        <row r="706">
          <cell r="D706">
            <v>-48</v>
          </cell>
        </row>
        <row r="707">
          <cell r="D707">
            <v>-171</v>
          </cell>
        </row>
        <row r="708">
          <cell r="D708">
            <v>-95</v>
          </cell>
        </row>
        <row r="709">
          <cell r="D709">
            <v>66</v>
          </cell>
        </row>
        <row r="710">
          <cell r="D710">
            <v>161</v>
          </cell>
        </row>
        <row r="711">
          <cell r="D711">
            <v>-22</v>
          </cell>
        </row>
        <row r="712">
          <cell r="D712">
            <v>-131</v>
          </cell>
        </row>
        <row r="713">
          <cell r="D713">
            <v>80</v>
          </cell>
        </row>
        <row r="714">
          <cell r="D714">
            <v>5</v>
          </cell>
        </row>
        <row r="715">
          <cell r="D715">
            <v>44</v>
          </cell>
        </row>
        <row r="716">
          <cell r="D716">
            <v>-65</v>
          </cell>
        </row>
        <row r="717">
          <cell r="D717">
            <v>203</v>
          </cell>
        </row>
        <row r="718">
          <cell r="D718">
            <v>-52</v>
          </cell>
        </row>
        <row r="719">
          <cell r="D719">
            <v>-52</v>
          </cell>
        </row>
        <row r="720">
          <cell r="D720">
            <v>-27</v>
          </cell>
        </row>
        <row r="721">
          <cell r="D721">
            <v>-73</v>
          </cell>
        </row>
        <row r="722">
          <cell r="D722">
            <v>94</v>
          </cell>
        </row>
        <row r="723">
          <cell r="D723">
            <v>-65</v>
          </cell>
        </row>
        <row r="724">
          <cell r="D724">
            <v>-85</v>
          </cell>
        </row>
        <row r="725">
          <cell r="D725">
            <v>27</v>
          </cell>
        </row>
        <row r="726">
          <cell r="D726">
            <v>10</v>
          </cell>
        </row>
        <row r="727">
          <cell r="D727">
            <v>-39</v>
          </cell>
        </row>
        <row r="728">
          <cell r="D728">
            <v>74</v>
          </cell>
        </row>
        <row r="729">
          <cell r="D729">
            <v>-105</v>
          </cell>
        </row>
        <row r="730">
          <cell r="D730">
            <v>73</v>
          </cell>
        </row>
        <row r="731">
          <cell r="D731">
            <v>132</v>
          </cell>
        </row>
        <row r="732">
          <cell r="D732">
            <v>16</v>
          </cell>
        </row>
        <row r="733">
          <cell r="D733">
            <v>204</v>
          </cell>
        </row>
        <row r="734">
          <cell r="D734">
            <v>-198</v>
          </cell>
        </row>
        <row r="735">
          <cell r="D735">
            <v>26</v>
          </cell>
        </row>
        <row r="736">
          <cell r="D736">
            <v>-12</v>
          </cell>
        </row>
        <row r="737">
          <cell r="D737">
            <v>-75</v>
          </cell>
        </row>
        <row r="738">
          <cell r="D738">
            <v>-55</v>
          </cell>
        </row>
        <row r="739">
          <cell r="D739">
            <v>-77</v>
          </cell>
        </row>
        <row r="740">
          <cell r="D740">
            <v>79</v>
          </cell>
        </row>
        <row r="741">
          <cell r="D741">
            <v>-80</v>
          </cell>
        </row>
        <row r="742">
          <cell r="D742">
            <v>-84</v>
          </cell>
        </row>
        <row r="743">
          <cell r="D743">
            <v>121</v>
          </cell>
        </row>
        <row r="744">
          <cell r="D744">
            <v>150</v>
          </cell>
        </row>
        <row r="745">
          <cell r="D745">
            <v>71</v>
          </cell>
        </row>
        <row r="746">
          <cell r="D746">
            <v>-72</v>
          </cell>
        </row>
        <row r="747">
          <cell r="D747">
            <v>48</v>
          </cell>
        </row>
        <row r="748">
          <cell r="D748">
            <v>36</v>
          </cell>
        </row>
        <row r="749">
          <cell r="D749">
            <v>79</v>
          </cell>
        </row>
        <row r="750">
          <cell r="D750">
            <v>9</v>
          </cell>
        </row>
        <row r="751">
          <cell r="D751">
            <v>261</v>
          </cell>
        </row>
        <row r="752">
          <cell r="D752">
            <v>79</v>
          </cell>
        </row>
        <row r="753">
          <cell r="D753">
            <v>94</v>
          </cell>
        </row>
        <row r="754">
          <cell r="D754">
            <v>-74</v>
          </cell>
        </row>
        <row r="755">
          <cell r="D755">
            <v>-32</v>
          </cell>
        </row>
        <row r="756">
          <cell r="D756">
            <v>176</v>
          </cell>
        </row>
        <row r="757">
          <cell r="D757">
            <v>-122</v>
          </cell>
        </row>
        <row r="758">
          <cell r="D758">
            <v>-56</v>
          </cell>
        </row>
        <row r="759">
          <cell r="D759">
            <v>69</v>
          </cell>
        </row>
        <row r="760">
          <cell r="D760">
            <v>83</v>
          </cell>
        </row>
        <row r="761">
          <cell r="D761">
            <v>121</v>
          </cell>
        </row>
        <row r="762">
          <cell r="D762">
            <v>230</v>
          </cell>
        </row>
        <row r="763">
          <cell r="D763">
            <v>90</v>
          </cell>
        </row>
        <row r="764">
          <cell r="D764">
            <v>-11</v>
          </cell>
        </row>
        <row r="765">
          <cell r="D765">
            <v>-27</v>
          </cell>
        </row>
        <row r="766">
          <cell r="D766">
            <v>5</v>
          </cell>
        </row>
        <row r="767">
          <cell r="D767">
            <v>-34</v>
          </cell>
        </row>
        <row r="768">
          <cell r="D768">
            <v>-94</v>
          </cell>
        </row>
        <row r="769">
          <cell r="D769">
            <v>-102</v>
          </cell>
        </row>
        <row r="770">
          <cell r="D770">
            <v>-157</v>
          </cell>
        </row>
        <row r="771">
          <cell r="D771">
            <v>10</v>
          </cell>
        </row>
        <row r="772">
          <cell r="D772">
            <v>-101</v>
          </cell>
        </row>
        <row r="773">
          <cell r="D773">
            <v>22</v>
          </cell>
        </row>
        <row r="774">
          <cell r="D774">
            <v>-50</v>
          </cell>
        </row>
        <row r="775">
          <cell r="D775">
            <v>156</v>
          </cell>
        </row>
        <row r="776">
          <cell r="D776">
            <v>-40</v>
          </cell>
        </row>
        <row r="777">
          <cell r="D777">
            <v>-50</v>
          </cell>
        </row>
        <row r="778">
          <cell r="D778">
            <v>43</v>
          </cell>
        </row>
        <row r="779">
          <cell r="D779">
            <v>-13</v>
          </cell>
        </row>
        <row r="780">
          <cell r="D780">
            <v>25</v>
          </cell>
        </row>
        <row r="781">
          <cell r="D781">
            <v>69</v>
          </cell>
        </row>
        <row r="782">
          <cell r="D782">
            <v>61</v>
          </cell>
        </row>
        <row r="783">
          <cell r="D783">
            <v>88</v>
          </cell>
        </row>
        <row r="784">
          <cell r="D784">
            <v>0</v>
          </cell>
        </row>
        <row r="785">
          <cell r="D785">
            <v>-164</v>
          </cell>
        </row>
        <row r="786">
          <cell r="D786">
            <v>-30</v>
          </cell>
        </row>
        <row r="787">
          <cell r="D787">
            <v>188</v>
          </cell>
        </row>
        <row r="788">
          <cell r="D788">
            <v>-37</v>
          </cell>
        </row>
        <row r="789">
          <cell r="D789">
            <v>121</v>
          </cell>
        </row>
        <row r="790">
          <cell r="D790">
            <v>-28</v>
          </cell>
        </row>
        <row r="791">
          <cell r="D791">
            <v>86</v>
          </cell>
        </row>
        <row r="792">
          <cell r="D792">
            <v>75</v>
          </cell>
        </row>
        <row r="793">
          <cell r="D793">
            <v>-195</v>
          </cell>
        </row>
        <row r="794">
          <cell r="D794">
            <v>56</v>
          </cell>
        </row>
        <row r="795">
          <cell r="D795">
            <v>-46</v>
          </cell>
        </row>
        <row r="796">
          <cell r="D796">
            <v>-64</v>
          </cell>
        </row>
        <row r="797">
          <cell r="D797">
            <v>188</v>
          </cell>
        </row>
        <row r="798">
          <cell r="D798">
            <v>35</v>
          </cell>
        </row>
        <row r="799">
          <cell r="D799">
            <v>-57</v>
          </cell>
        </row>
        <row r="800">
          <cell r="D800">
            <v>-75</v>
          </cell>
        </row>
        <row r="801">
          <cell r="D801">
            <v>26</v>
          </cell>
        </row>
        <row r="802">
          <cell r="D802">
            <v>-88</v>
          </cell>
        </row>
        <row r="803">
          <cell r="D803">
            <v>60</v>
          </cell>
        </row>
        <row r="804">
          <cell r="D804">
            <v>-21</v>
          </cell>
        </row>
        <row r="805">
          <cell r="D805">
            <v>28</v>
          </cell>
        </row>
        <row r="806">
          <cell r="D806">
            <v>54</v>
          </cell>
        </row>
        <row r="807">
          <cell r="D807">
            <v>147</v>
          </cell>
        </row>
        <row r="808">
          <cell r="D808">
            <v>-10</v>
          </cell>
        </row>
        <row r="809">
          <cell r="D809">
            <v>-26</v>
          </cell>
        </row>
        <row r="810">
          <cell r="D810">
            <v>-35</v>
          </cell>
        </row>
        <row r="811">
          <cell r="D811">
            <v>21</v>
          </cell>
        </row>
        <row r="812">
          <cell r="D812">
            <v>-183</v>
          </cell>
        </row>
        <row r="813">
          <cell r="D813">
            <v>65</v>
          </cell>
        </row>
        <row r="814">
          <cell r="D814">
            <v>-166</v>
          </cell>
        </row>
        <row r="815">
          <cell r="D815">
            <v>-13</v>
          </cell>
        </row>
        <row r="816">
          <cell r="D816">
            <v>-160</v>
          </cell>
        </row>
        <row r="817">
          <cell r="D817">
            <v>-24</v>
          </cell>
        </row>
        <row r="818">
          <cell r="D818">
            <v>-23</v>
          </cell>
        </row>
        <row r="819">
          <cell r="D819">
            <v>96</v>
          </cell>
        </row>
        <row r="820">
          <cell r="D820">
            <v>-15</v>
          </cell>
        </row>
        <row r="821">
          <cell r="D821">
            <v>-79</v>
          </cell>
        </row>
        <row r="822">
          <cell r="D822">
            <v>-31</v>
          </cell>
        </row>
        <row r="823">
          <cell r="D823">
            <v>15</v>
          </cell>
        </row>
        <row r="824">
          <cell r="D824">
            <v>-107</v>
          </cell>
        </row>
        <row r="825">
          <cell r="D825">
            <v>25</v>
          </cell>
        </row>
        <row r="826">
          <cell r="D826">
            <v>-219</v>
          </cell>
        </row>
        <row r="827">
          <cell r="D827">
            <v>6</v>
          </cell>
        </row>
        <row r="828">
          <cell r="D828">
            <v>-167</v>
          </cell>
        </row>
        <row r="829">
          <cell r="D829">
            <v>182</v>
          </cell>
        </row>
        <row r="830">
          <cell r="D830">
            <v>49</v>
          </cell>
        </row>
        <row r="831">
          <cell r="D831">
            <v>81</v>
          </cell>
        </row>
        <row r="832">
          <cell r="D832">
            <v>-11</v>
          </cell>
        </row>
        <row r="833">
          <cell r="D833">
            <v>-68</v>
          </cell>
        </row>
        <row r="834">
          <cell r="D834">
            <v>57</v>
          </cell>
        </row>
        <row r="835">
          <cell r="D835">
            <v>-189</v>
          </cell>
        </row>
        <row r="836">
          <cell r="D836">
            <v>50</v>
          </cell>
        </row>
        <row r="837">
          <cell r="D837">
            <v>155</v>
          </cell>
        </row>
        <row r="838">
          <cell r="D838">
            <v>-112</v>
          </cell>
        </row>
        <row r="839">
          <cell r="D839">
            <v>-200</v>
          </cell>
        </row>
        <row r="840">
          <cell r="D840">
            <v>-204</v>
          </cell>
        </row>
        <row r="841">
          <cell r="D841">
            <v>67</v>
          </cell>
        </row>
        <row r="842">
          <cell r="D842">
            <v>-122</v>
          </cell>
        </row>
        <row r="843">
          <cell r="D843">
            <v>137</v>
          </cell>
        </row>
        <row r="844">
          <cell r="D844">
            <v>-17</v>
          </cell>
        </row>
        <row r="845">
          <cell r="D845">
            <v>-31</v>
          </cell>
        </row>
        <row r="846">
          <cell r="D846">
            <v>-74</v>
          </cell>
        </row>
        <row r="847">
          <cell r="D847">
            <v>-133</v>
          </cell>
        </row>
        <row r="848">
          <cell r="D848">
            <v>-152</v>
          </cell>
        </row>
        <row r="849">
          <cell r="D849">
            <v>57</v>
          </cell>
        </row>
        <row r="850">
          <cell r="D850">
            <v>98</v>
          </cell>
        </row>
        <row r="851">
          <cell r="D851">
            <v>5</v>
          </cell>
        </row>
        <row r="852">
          <cell r="D852">
            <v>74</v>
          </cell>
        </row>
        <row r="853">
          <cell r="D853">
            <v>-100</v>
          </cell>
        </row>
        <row r="854">
          <cell r="D854">
            <v>-9</v>
          </cell>
        </row>
        <row r="855">
          <cell r="D855">
            <v>-203</v>
          </cell>
        </row>
        <row r="856">
          <cell r="D856">
            <v>-30</v>
          </cell>
        </row>
        <row r="857">
          <cell r="D857">
            <v>24</v>
          </cell>
        </row>
        <row r="858">
          <cell r="D858">
            <v>194</v>
          </cell>
        </row>
        <row r="859">
          <cell r="D859">
            <v>47</v>
          </cell>
        </row>
        <row r="860">
          <cell r="D860">
            <v>-130</v>
          </cell>
        </row>
        <row r="861">
          <cell r="D861">
            <v>23</v>
          </cell>
        </row>
        <row r="862">
          <cell r="D862">
            <v>25</v>
          </cell>
        </row>
        <row r="863">
          <cell r="D863">
            <v>117</v>
          </cell>
        </row>
        <row r="864">
          <cell r="D864">
            <v>-157</v>
          </cell>
        </row>
        <row r="865">
          <cell r="D865">
            <v>4</v>
          </cell>
        </row>
        <row r="866">
          <cell r="D866">
            <v>-28</v>
          </cell>
        </row>
        <row r="867">
          <cell r="D867">
            <v>-156</v>
          </cell>
        </row>
        <row r="868">
          <cell r="D868">
            <v>-70</v>
          </cell>
        </row>
        <row r="869">
          <cell r="D869">
            <v>-121</v>
          </cell>
        </row>
        <row r="870">
          <cell r="D870">
            <v>-21</v>
          </cell>
        </row>
        <row r="871">
          <cell r="D871">
            <v>94</v>
          </cell>
        </row>
        <row r="872">
          <cell r="D872">
            <v>45</v>
          </cell>
        </row>
        <row r="873">
          <cell r="D873">
            <v>-89</v>
          </cell>
        </row>
        <row r="874">
          <cell r="D874">
            <v>146</v>
          </cell>
        </row>
        <row r="875">
          <cell r="D875">
            <v>-87</v>
          </cell>
        </row>
        <row r="876">
          <cell r="D876">
            <v>120</v>
          </cell>
        </row>
        <row r="877">
          <cell r="D877">
            <v>-30</v>
          </cell>
        </row>
        <row r="878">
          <cell r="D878">
            <v>33</v>
          </cell>
        </row>
        <row r="879">
          <cell r="D879">
            <v>-85</v>
          </cell>
        </row>
        <row r="880">
          <cell r="D880">
            <v>-126</v>
          </cell>
        </row>
        <row r="881">
          <cell r="D881">
            <v>-207</v>
          </cell>
        </row>
        <row r="882">
          <cell r="D882">
            <v>157</v>
          </cell>
        </row>
        <row r="883">
          <cell r="D883">
            <v>61</v>
          </cell>
        </row>
        <row r="884">
          <cell r="D884">
            <v>48</v>
          </cell>
        </row>
        <row r="885">
          <cell r="D885">
            <v>88</v>
          </cell>
        </row>
        <row r="886">
          <cell r="D886">
            <v>-137</v>
          </cell>
        </row>
        <row r="887">
          <cell r="D887">
            <v>-17</v>
          </cell>
        </row>
        <row r="888">
          <cell r="D888">
            <v>-23</v>
          </cell>
        </row>
        <row r="889">
          <cell r="D889">
            <v>29</v>
          </cell>
        </row>
        <row r="890">
          <cell r="D890">
            <v>65</v>
          </cell>
        </row>
        <row r="891">
          <cell r="D891">
            <v>-24</v>
          </cell>
        </row>
        <row r="892">
          <cell r="D892">
            <v>-110</v>
          </cell>
        </row>
        <row r="893">
          <cell r="D893">
            <v>-184</v>
          </cell>
        </row>
        <row r="894">
          <cell r="D894">
            <v>100</v>
          </cell>
        </row>
        <row r="895">
          <cell r="D895">
            <v>-65</v>
          </cell>
        </row>
        <row r="896">
          <cell r="D896">
            <v>13</v>
          </cell>
        </row>
        <row r="897">
          <cell r="D897">
            <v>-16</v>
          </cell>
        </row>
        <row r="898">
          <cell r="D898">
            <v>44</v>
          </cell>
        </row>
        <row r="899">
          <cell r="D899">
            <v>-53</v>
          </cell>
        </row>
        <row r="900">
          <cell r="D900">
            <v>22</v>
          </cell>
        </row>
        <row r="901">
          <cell r="D901">
            <v>12</v>
          </cell>
        </row>
        <row r="902">
          <cell r="D902">
            <v>8</v>
          </cell>
        </row>
        <row r="903">
          <cell r="D903">
            <v>40</v>
          </cell>
        </row>
        <row r="904">
          <cell r="D904">
            <v>153</v>
          </cell>
        </row>
        <row r="905">
          <cell r="D905">
            <v>-49</v>
          </cell>
        </row>
        <row r="906">
          <cell r="D906">
            <v>-31</v>
          </cell>
        </row>
        <row r="907">
          <cell r="D907">
            <v>127</v>
          </cell>
        </row>
        <row r="908">
          <cell r="D908">
            <v>-15</v>
          </cell>
        </row>
        <row r="909">
          <cell r="D909">
            <v>0</v>
          </cell>
        </row>
        <row r="910">
          <cell r="D910">
            <v>-183</v>
          </cell>
        </row>
        <row r="911">
          <cell r="D911">
            <v>41</v>
          </cell>
        </row>
        <row r="912">
          <cell r="D912">
            <v>94</v>
          </cell>
        </row>
        <row r="913">
          <cell r="D913">
            <v>17</v>
          </cell>
        </row>
        <row r="914">
          <cell r="D914">
            <v>88</v>
          </cell>
        </row>
        <row r="915">
          <cell r="D915">
            <v>21</v>
          </cell>
        </row>
        <row r="916">
          <cell r="D916">
            <v>-38</v>
          </cell>
        </row>
        <row r="917">
          <cell r="D917">
            <v>92</v>
          </cell>
        </row>
        <row r="918">
          <cell r="D918">
            <v>31</v>
          </cell>
        </row>
        <row r="919">
          <cell r="D919">
            <v>-105</v>
          </cell>
        </row>
        <row r="920">
          <cell r="D920">
            <v>-132</v>
          </cell>
        </row>
        <row r="921">
          <cell r="D921">
            <v>12</v>
          </cell>
        </row>
        <row r="922">
          <cell r="D922">
            <v>-57</v>
          </cell>
        </row>
        <row r="923">
          <cell r="D923">
            <v>-254</v>
          </cell>
        </row>
        <row r="924">
          <cell r="D924">
            <v>32</v>
          </cell>
        </row>
        <row r="925">
          <cell r="D925">
            <v>12</v>
          </cell>
        </row>
        <row r="926">
          <cell r="D926">
            <v>72</v>
          </cell>
        </row>
        <row r="927">
          <cell r="D927">
            <v>-27</v>
          </cell>
        </row>
        <row r="928">
          <cell r="D928">
            <v>-56</v>
          </cell>
        </row>
        <row r="929">
          <cell r="D929">
            <v>-120</v>
          </cell>
        </row>
        <row r="930">
          <cell r="D930">
            <v>118</v>
          </cell>
        </row>
        <row r="931">
          <cell r="D931">
            <v>104</v>
          </cell>
        </row>
        <row r="932">
          <cell r="D932">
            <v>36</v>
          </cell>
        </row>
        <row r="933">
          <cell r="D933">
            <v>-42</v>
          </cell>
        </row>
        <row r="934">
          <cell r="D934">
            <v>-144</v>
          </cell>
        </row>
        <row r="935">
          <cell r="D935">
            <v>-18</v>
          </cell>
        </row>
        <row r="936">
          <cell r="D936">
            <v>45</v>
          </cell>
        </row>
        <row r="937">
          <cell r="D937">
            <v>-132</v>
          </cell>
        </row>
        <row r="938">
          <cell r="D938">
            <v>-16</v>
          </cell>
        </row>
        <row r="939">
          <cell r="D939">
            <v>96</v>
          </cell>
        </row>
        <row r="940">
          <cell r="D940">
            <v>134</v>
          </cell>
        </row>
        <row r="941">
          <cell r="D941">
            <v>-290</v>
          </cell>
        </row>
        <row r="942">
          <cell r="D942">
            <v>-54</v>
          </cell>
        </row>
        <row r="943">
          <cell r="D943">
            <v>70</v>
          </cell>
        </row>
        <row r="944">
          <cell r="D944">
            <v>48</v>
          </cell>
        </row>
        <row r="945">
          <cell r="D945">
            <v>9</v>
          </cell>
        </row>
        <row r="946">
          <cell r="D946">
            <v>-92</v>
          </cell>
        </row>
        <row r="947">
          <cell r="D947">
            <v>54</v>
          </cell>
        </row>
        <row r="948">
          <cell r="D948">
            <v>-129</v>
          </cell>
        </row>
        <row r="949">
          <cell r="D949">
            <v>38</v>
          </cell>
        </row>
        <row r="950">
          <cell r="D950">
            <v>-83</v>
          </cell>
        </row>
        <row r="951">
          <cell r="D951">
            <v>-75</v>
          </cell>
        </row>
        <row r="952">
          <cell r="D952">
            <v>158</v>
          </cell>
        </row>
        <row r="953">
          <cell r="D953">
            <v>-7</v>
          </cell>
        </row>
        <row r="954">
          <cell r="D954">
            <v>-134</v>
          </cell>
        </row>
        <row r="955">
          <cell r="D955">
            <v>-86</v>
          </cell>
        </row>
        <row r="956">
          <cell r="D956">
            <v>39</v>
          </cell>
        </row>
        <row r="957">
          <cell r="D957">
            <v>81</v>
          </cell>
        </row>
        <row r="958">
          <cell r="D958">
            <v>-77</v>
          </cell>
        </row>
        <row r="959">
          <cell r="D959">
            <v>-108</v>
          </cell>
        </row>
        <row r="960">
          <cell r="D960">
            <v>-15</v>
          </cell>
        </row>
        <row r="961">
          <cell r="D961">
            <v>-51</v>
          </cell>
        </row>
        <row r="962">
          <cell r="D962">
            <v>29</v>
          </cell>
        </row>
        <row r="963">
          <cell r="D963">
            <v>-194</v>
          </cell>
        </row>
        <row r="964">
          <cell r="D964">
            <v>53</v>
          </cell>
        </row>
        <row r="965">
          <cell r="D965">
            <v>69</v>
          </cell>
        </row>
        <row r="966">
          <cell r="D966">
            <v>-14</v>
          </cell>
        </row>
        <row r="967">
          <cell r="D967">
            <v>82</v>
          </cell>
        </row>
        <row r="968">
          <cell r="D968">
            <v>-33</v>
          </cell>
        </row>
        <row r="969">
          <cell r="D969">
            <v>60</v>
          </cell>
        </row>
        <row r="970">
          <cell r="D970">
            <v>-104</v>
          </cell>
        </row>
        <row r="971">
          <cell r="D971">
            <v>4</v>
          </cell>
        </row>
        <row r="972">
          <cell r="D972">
            <v>-31</v>
          </cell>
        </row>
        <row r="973">
          <cell r="D973">
            <v>33</v>
          </cell>
        </row>
        <row r="974">
          <cell r="D974">
            <v>94</v>
          </cell>
        </row>
        <row r="975">
          <cell r="D975">
            <v>-114</v>
          </cell>
        </row>
        <row r="976">
          <cell r="D976">
            <v>82</v>
          </cell>
        </row>
        <row r="977">
          <cell r="D977">
            <v>-30</v>
          </cell>
        </row>
        <row r="978">
          <cell r="D978">
            <v>9</v>
          </cell>
        </row>
        <row r="979">
          <cell r="D979">
            <v>-41</v>
          </cell>
        </row>
        <row r="980">
          <cell r="D980">
            <v>-130</v>
          </cell>
        </row>
        <row r="981">
          <cell r="D981">
            <v>-25</v>
          </cell>
        </row>
        <row r="982">
          <cell r="D982">
            <v>-59</v>
          </cell>
        </row>
        <row r="983">
          <cell r="D983">
            <v>147</v>
          </cell>
        </row>
        <row r="984">
          <cell r="D984">
            <v>54</v>
          </cell>
        </row>
        <row r="985">
          <cell r="D985">
            <v>28</v>
          </cell>
        </row>
        <row r="986">
          <cell r="D986">
            <v>-171</v>
          </cell>
        </row>
        <row r="987">
          <cell r="D987">
            <v>76</v>
          </cell>
        </row>
        <row r="988">
          <cell r="D988">
            <v>-146</v>
          </cell>
        </row>
        <row r="989">
          <cell r="D989">
            <v>-24</v>
          </cell>
        </row>
        <row r="990">
          <cell r="D990">
            <v>-76</v>
          </cell>
        </row>
        <row r="991">
          <cell r="D991">
            <v>-175</v>
          </cell>
        </row>
        <row r="992">
          <cell r="D992">
            <v>78</v>
          </cell>
        </row>
        <row r="993">
          <cell r="D993">
            <v>-22</v>
          </cell>
        </row>
        <row r="994">
          <cell r="D994">
            <v>-4</v>
          </cell>
        </row>
        <row r="995">
          <cell r="D995">
            <v>-6</v>
          </cell>
        </row>
        <row r="996">
          <cell r="D996">
            <v>113</v>
          </cell>
        </row>
        <row r="997">
          <cell r="D997">
            <v>186</v>
          </cell>
        </row>
        <row r="998">
          <cell r="D998">
            <v>45</v>
          </cell>
        </row>
        <row r="999">
          <cell r="D999">
            <v>89</v>
          </cell>
        </row>
        <row r="1000">
          <cell r="D1000">
            <v>-104</v>
          </cell>
        </row>
        <row r="1001">
          <cell r="D1001">
            <v>-54</v>
          </cell>
        </row>
        <row r="1002">
          <cell r="D1002">
            <v>219</v>
          </cell>
        </row>
        <row r="1003">
          <cell r="D1003">
            <v>40</v>
          </cell>
        </row>
        <row r="1004">
          <cell r="D1004">
            <v>56</v>
          </cell>
        </row>
        <row r="1005">
          <cell r="D1005">
            <v>-144</v>
          </cell>
        </row>
        <row r="1006">
          <cell r="D1006">
            <v>-92</v>
          </cell>
        </row>
        <row r="1007">
          <cell r="D1007">
            <v>61</v>
          </cell>
        </row>
        <row r="1008">
          <cell r="D1008">
            <v>-218</v>
          </cell>
        </row>
        <row r="1009">
          <cell r="D1009">
            <v>-23</v>
          </cell>
        </row>
        <row r="1010">
          <cell r="D1010">
            <v>71</v>
          </cell>
        </row>
        <row r="1011">
          <cell r="D1011">
            <v>-68</v>
          </cell>
        </row>
        <row r="1012">
          <cell r="D1012">
            <v>-2</v>
          </cell>
        </row>
        <row r="1013">
          <cell r="D1013">
            <v>174</v>
          </cell>
        </row>
        <row r="1014">
          <cell r="D1014">
            <v>129</v>
          </cell>
        </row>
        <row r="1015">
          <cell r="D1015">
            <v>-168</v>
          </cell>
        </row>
        <row r="1016">
          <cell r="D1016">
            <v>-10</v>
          </cell>
        </row>
        <row r="1017">
          <cell r="D1017">
            <v>21</v>
          </cell>
        </row>
        <row r="1018">
          <cell r="D1018">
            <v>114</v>
          </cell>
        </row>
        <row r="1019">
          <cell r="D1019">
            <v>69</v>
          </cell>
        </row>
        <row r="1020">
          <cell r="D1020">
            <v>-108</v>
          </cell>
        </row>
      </sheetData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TURA"/>
      <sheetName val="BASE"/>
      <sheetName val="FILTRO AVANZADO"/>
      <sheetName val="EXTRACTO"/>
    </sheetNames>
    <sheetDataSet>
      <sheetData sheetId="0" refreshError="1"/>
      <sheetData sheetId="1">
        <row r="1">
          <cell r="A1" t="str">
            <v>CEDULA</v>
          </cell>
          <cell r="B1" t="str">
            <v>NOMBRE</v>
          </cell>
          <cell r="C1" t="str">
            <v>CIUDAD</v>
          </cell>
          <cell r="D1" t="str">
            <v>SEXO</v>
          </cell>
          <cell r="E1" t="str">
            <v>INGRESO</v>
          </cell>
        </row>
        <row r="2">
          <cell r="A2">
            <v>11</v>
          </cell>
          <cell r="B2" t="str">
            <v>SEBASTIAN</v>
          </cell>
          <cell r="C2" t="str">
            <v>Bogota</v>
          </cell>
          <cell r="D2" t="str">
            <v>M</v>
          </cell>
          <cell r="E2">
            <v>150000000</v>
          </cell>
        </row>
        <row r="3">
          <cell r="A3">
            <v>55</v>
          </cell>
          <cell r="B3" t="str">
            <v>MARIA</v>
          </cell>
          <cell r="C3" t="str">
            <v>Cali</v>
          </cell>
          <cell r="D3" t="str">
            <v>F</v>
          </cell>
          <cell r="E3">
            <v>1500000</v>
          </cell>
        </row>
        <row r="4">
          <cell r="A4">
            <v>78</v>
          </cell>
          <cell r="B4" t="str">
            <v>PEDRO</v>
          </cell>
          <cell r="C4" t="str">
            <v>Medellin</v>
          </cell>
          <cell r="D4" t="str">
            <v>M</v>
          </cell>
          <cell r="E4">
            <v>5000000</v>
          </cell>
        </row>
        <row r="5">
          <cell r="A5">
            <v>42</v>
          </cell>
          <cell r="B5" t="str">
            <v>JUAN</v>
          </cell>
          <cell r="C5" t="str">
            <v>Medellin</v>
          </cell>
          <cell r="D5" t="str">
            <v>M</v>
          </cell>
          <cell r="E5">
            <v>5000000</v>
          </cell>
        </row>
        <row r="6">
          <cell r="A6">
            <v>33</v>
          </cell>
          <cell r="B6" t="str">
            <v>NATALIA</v>
          </cell>
          <cell r="C6" t="str">
            <v>Cali</v>
          </cell>
          <cell r="D6" t="str">
            <v>F</v>
          </cell>
          <cell r="E6">
            <v>3600000</v>
          </cell>
        </row>
        <row r="7">
          <cell r="A7">
            <v>96</v>
          </cell>
          <cell r="B7" t="str">
            <v>luisa</v>
          </cell>
          <cell r="C7" t="str">
            <v>Medellin</v>
          </cell>
          <cell r="D7" t="str">
            <v>F</v>
          </cell>
          <cell r="E7">
            <v>2500000</v>
          </cell>
        </row>
        <row r="8">
          <cell r="A8">
            <v>487</v>
          </cell>
          <cell r="B8" t="str">
            <v>FERNANDO</v>
          </cell>
          <cell r="C8" t="str">
            <v>Cali</v>
          </cell>
          <cell r="D8" t="str">
            <v>M</v>
          </cell>
          <cell r="E8">
            <v>1500000</v>
          </cell>
        </row>
        <row r="9">
          <cell r="A9">
            <v>754</v>
          </cell>
          <cell r="B9" t="str">
            <v>LINA</v>
          </cell>
          <cell r="C9" t="str">
            <v>Cali</v>
          </cell>
          <cell r="D9" t="str">
            <v>F</v>
          </cell>
          <cell r="E9">
            <v>2500000</v>
          </cell>
        </row>
        <row r="10">
          <cell r="A10">
            <v>457</v>
          </cell>
          <cell r="B10" t="str">
            <v>LUISA</v>
          </cell>
          <cell r="C10" t="str">
            <v>Medellin</v>
          </cell>
          <cell r="D10" t="str">
            <v>F</v>
          </cell>
          <cell r="E10">
            <v>5000000</v>
          </cell>
        </row>
        <row r="11">
          <cell r="A11">
            <v>91598956</v>
          </cell>
          <cell r="B11" t="str">
            <v>Elider</v>
          </cell>
          <cell r="C11" t="str">
            <v>Cali</v>
          </cell>
          <cell r="D11" t="str">
            <v>M</v>
          </cell>
          <cell r="E11">
            <v>56895689</v>
          </cell>
        </row>
      </sheetData>
      <sheetData sheetId="2" refreshError="1"/>
      <sheetData sheetId="3">
        <row r="5">
          <cell r="D5">
            <v>11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 de datos_No 1"/>
      <sheetName val="Buscarv + SI_No 1"/>
      <sheetName val="Ejerc_2"/>
      <sheetName val="Ejerc_3"/>
      <sheetName val="Ejerc_4"/>
      <sheetName val="Ejerc4dos"/>
      <sheetName val="Hoja6"/>
    </sheetNames>
    <sheetDataSet>
      <sheetData sheetId="0"/>
      <sheetData sheetId="1" refreshError="1"/>
      <sheetData sheetId="2" refreshError="1"/>
      <sheetData sheetId="3" refreshError="1"/>
      <sheetData sheetId="4"/>
      <sheetData sheetId="5"/>
      <sheetData sheetId="6">
        <row r="3">
          <cell r="K3" t="str">
            <v>PRE</v>
          </cell>
        </row>
        <row r="4">
          <cell r="K4" t="str">
            <v>PRO</v>
          </cell>
        </row>
        <row r="5">
          <cell r="K5" t="str">
            <v>TIS</v>
          </cell>
        </row>
        <row r="6">
          <cell r="K6" t="str">
            <v>T11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ndy Miranda" refreshedDate="43865.393267708336" createdVersion="5" refreshedVersion="5" minRefreshableVersion="3" recordCount="481">
  <cacheSource type="worksheet">
    <worksheetSource ref="C10:U491" sheet="Punto # 1,"/>
  </cacheSource>
  <cacheFields count="20">
    <cacheField name="CEDULA" numFmtId="3">
      <sharedItems containsSemiMixedTypes="0" containsString="0" containsNumber="1" containsInteger="1" minValue="5824284" maxValue="1233890202"/>
    </cacheField>
    <cacheField name="COD OFICINA " numFmtId="0">
      <sharedItems containsSemiMixedTypes="0" containsString="0" containsNumber="1" containsInteger="1" minValue="3" maxValue="983"/>
    </cacheField>
    <cacheField name="CODIGO GESTOR" numFmtId="0">
      <sharedItems containsSemiMixedTypes="0" containsString="0" containsNumber="1" containsInteger="1" minValue="8019" maxValue="38871"/>
    </cacheField>
    <cacheField name="OFICINA" numFmtId="0">
      <sharedItems count="173">
        <s v="BOGOTÁ CHAPINERO"/>
        <s v=" BOGOTÁ RESTREPO"/>
        <s v="ARMENIA CENTRO"/>
        <s v="BOGOTÁ LOS HAYUELOS"/>
        <s v="PEREIRA DOSQUEBRADAS"/>
        <s v=" BOGOTÁ KENNEDY"/>
        <s v="BARRANQUILLA CENTRO"/>
        <s v="CARTAGENA MALL PLAZA"/>
        <s v="ZIPAQUIRA"/>
        <s v="PEREIRA AV. DEL RIO"/>
        <s v="BOGOTÁ LIDO"/>
        <s v="PEREIRA CIUDAD VICTORIA"/>
        <s v="CUCUTA ACACIOS"/>
        <s v="BOGOTÁ SALITRE PLAZA"/>
        <s v=" BOGOTÁ CASTILLA"/>
        <s v="VILLAVICENCIO - UNICENTRO"/>
        <s v="BOGOTÁ CALLE 97"/>
        <s v="BUCARAMANGA PASEO DEL COMERCIO"/>
        <s v="MEDELLIN PARQUE BERRIO"/>
        <s v=" BOGOTÁ LA CORONA"/>
        <s v="BOGOTÁ EL RETIRO"/>
        <s v="PEREIRA LAGO URIBE"/>
        <s v="BUCARAMANGA CACIQUE"/>
        <s v="BOGOTÁ SUBA"/>
        <s v="PEREIRA CRA. SEPTIMA"/>
        <s v="BOGOTÁ ALHAMBRA"/>
        <s v="CUCUTA PRINCIPAL"/>
        <s v="BOGOTÁ CALLE 13"/>
        <s v="CARTAGENA CENTRO"/>
        <s v="MEDELLIN ÉXITO COLOMBIA"/>
        <s v="VILLAVICENCIO LLANOCENTRO"/>
        <s v="BOGOTÁ AVENIDA CHILE"/>
        <s v="CALI PRINCIPAL"/>
        <s v="MEDELLIN BELLO"/>
        <s v="BOGOTÁ BULEVAR NIZA"/>
        <s v="CHÍA SABANA NORTE"/>
        <s v="BOGOTÁ LA TORRE"/>
        <s v="BOGOTÁ CENTRO 93"/>
        <s v="BOGOTÁ CALLE 170"/>
        <s v="BOGOTÁ ALCAZARES"/>
        <s v="MEDELLIN CITY PLAZA"/>
        <s v="MEDELLIN SANTAFE"/>
        <s v="BOGOTÁ CEDRO BOLIVAR"/>
        <s v="BUCARAMANGA CABECERA DEL LLANO"/>
        <s v="BARRANQUILLA PRINCIPAL"/>
        <s v="BOGOTÁ ANTIGUO COUNTRY"/>
        <s v="MONTERIA ALAMEDAS"/>
        <s v="CARTAGO"/>
        <s v=" BOGOTÁ CIUDAD MONTES"/>
        <s v="BARRANQUILLA BUENAVISTA"/>
        <s v="BOGOTÁ AVENIDA QUINCE"/>
        <s v=" BOGOTÁ FONTIBON"/>
        <s v="CUCUTA VENTURA PLAZA"/>
        <s v="BOGOTÁ CEDRITOS"/>
        <s v="CALI LA 70"/>
        <s v="BOGOTÁ SANTA BARBARA"/>
        <s v="IBAGUE CARRERA 5"/>
        <s v="BUCARAMANGA PIEDECUESTA"/>
        <s v="MONTERIA BUENAVISTA"/>
        <s v="BOGOTÁ PALOQUEMAO"/>
        <s v="BOGOTÁ SUBA IMPERIAL"/>
        <s v="MEDELLIN AV. CUNDINAMARCA"/>
        <s v="MEDELLIN ITAGUI"/>
        <s v="PASTO PLAZA DE NARIÑO"/>
        <s v="BOGOTÁ ISERRA 100"/>
        <s v="IBAGUE PRINCIPAL"/>
        <s v=" FACATATIVA CENTRO"/>
        <s v="MEDELLIN SAN FERNANDO PLAZA"/>
        <s v="BOGOTÁ FERIAS"/>
        <s v="BOGOTÁ LA MAGDALENA"/>
        <s v=" BOGOTÁ SOACHA"/>
        <s v="POPAYAN CLUB"/>
        <s v="PASTO AVENIDA PANAMERICANA"/>
        <s v="MANIZALES CABLE PLAZA"/>
        <s v="CALI UNICENTRO"/>
        <s v="BOGOTÁ COLINA 138"/>
        <s v="BOGOTÁ CIUDAD SALITRE"/>
        <s v="NEIVA CENTRO"/>
        <s v=" BOGOTÁ SAN CARLOS"/>
        <s v="MEDELLIN LAS VEGAS"/>
        <s v=" BOGOTÁ MODELIA"/>
        <s v="CARTAGENA PRINCIPAL"/>
        <s v="BARRANQUILLA ANDES"/>
        <s v="BOGOTÁ IBERIA"/>
        <s v="MANIZALES"/>
        <s v="MEDELLIN LAURELES SANTATERESITA"/>
        <s v="VALLEDUPAR GUATAPURI"/>
        <s v="MEDELLIN  GRAN VIA"/>
        <s v="BARRANQUILLA TORCOROMA"/>
        <s v="BOGOTÁ CARRERA DECIMA"/>
        <s v="BARRANQUILLA CALLE 93"/>
        <s v="BOGOTÁ CALLE 74"/>
        <s v="SANTA MARTA LAS PALMAS"/>
        <s v="CALI LA FLORA"/>
        <s v="BOGOTÁ PRADO VERANIEGO"/>
        <s v="MEDELLIN LAURELES LA 80 ÉXITO"/>
        <s v="BOGOTA CONNECTA"/>
        <s v="BOGOTÁ GALERIAS"/>
        <s v=" BOGOTÁ BOSA"/>
        <s v=" BOGOTÁ CAZUCA"/>
        <s v="BARRANQUILLA CALLE 30"/>
        <s v="PLAZA CENTRAL"/>
        <s v="BOGOTÁ DIVER PLAZA"/>
        <s v="BARRANQUILLA  VIA 40"/>
        <s v=" BOGOTÁ TOBERIN"/>
        <s v=" BOGOTÁ CENTRO MAYOR"/>
        <s v="BOGOTA HACIENDA SANTA BARBARA"/>
        <s v="BARRANQUILLA AMERICANO"/>
        <s v="PEREIRA MEGACENTRO PINARES"/>
        <s v="SOGAMOSO"/>
        <s v="IBAGUE LA ESTACION"/>
        <s v="BOGOTÁ CALLE 91"/>
        <s v="MEDELLIN PLAZA MAYORISTA"/>
        <s v="BOGOTÁ PONTEVEDRA"/>
        <s v="ARMENIA FUNDADORES"/>
        <s v="BOGOTÁ SAN MARTIN"/>
        <s v="CALI PALMETTO"/>
        <s v=" BOGOTÁ MONTEVIDEO"/>
        <s v="VILLAVICENCIO - EL PARQUE"/>
        <s v="BUCARAMANGA LA FLORIDA"/>
        <s v="BOGOTÁ CALLE 109"/>
        <s v="SANTA MARTA"/>
        <s v="BUGA"/>
        <s v="BOGOTÁ SANTA FE"/>
        <s v="MONTERIA CENTRO"/>
        <s v="BOGOTÁ CENTRO CHIA"/>
        <s v="TUNJA CENTRO"/>
        <s v="MEDELLIN PREMIUM PLAZA"/>
        <s v="BARRANQUILLA ViVA CRA 51B"/>
        <s v="MEDELLIN MAYORCA"/>
        <s v="BUCARAMANGA MEGA MALL"/>
        <s v="BOGOTÁ NORMANDIA"/>
        <s v="BOGOTÁ VILLA DEL PRADO"/>
        <s v="IPIALES"/>
        <s v="MEDELLIN RIONEGRO PARQUE"/>
        <s v=" BOGOTÁ VEINTE DE JULIO"/>
        <s v="MEDELLIN AVES MARIAS"/>
        <s v="BOGOTÁ SIETE DE AGOSTO"/>
        <s v="BOGOTÁ UNICENTRO"/>
        <s v="BOGOTÁ GRAN ESTACION"/>
        <s v="POPAYAN"/>
        <s v=" BOGOTÁ FONTIBON LA MACARENA"/>
        <s v="MEDELLIN DE LA 65"/>
        <s v="BUCARAMANGA SOTOMAYOR"/>
        <s v="MEDELLIN PALMA GRANDE"/>
        <s v="IBAGUE MULTICENTRO"/>
        <s v="BOGOTÁ PARK WAY"/>
        <s v="BOGOTÁ CALLE 80"/>
        <s v="PALMIRA CENTRO"/>
        <s v="CARTAGENA PEDRO HEREDIA ÉXITO"/>
        <s v="MOSQUERA"/>
        <s v="VALLEDUPAR"/>
        <s v="SINCELEJO"/>
        <s v="YOPAL"/>
        <s v="NEIVA SEVILLA"/>
        <s v="CARTAGENA CARIBE PLAZA"/>
        <s v="BOGOTA TORRE KRYSTAL"/>
        <s v="MEDELLIN RIONEGRO TUTUCAN"/>
        <s v="NEIVA UNICENTRO"/>
        <s v=" BOGOTÁ CARVAJAL"/>
        <s v="CALI AVENIDA SEXTA"/>
        <s v="FACATATIVA NOVA PLAZA"/>
        <s v="CALI COSMOCENTRO"/>
        <s v="PEREIRA UNICENTRO"/>
        <s v="BARRANQUILLA VEINTE DE JULIO"/>
        <s v=" BOGOTÁ CENTRO COMERCIAL CARRERA"/>
        <s v="CALI CENTENARIO"/>
        <s v="CALI CRA. PRIMERA"/>
        <s v="CALI CHIPICHAPE"/>
        <s v="CALI VALLE DE LILI"/>
        <s v="BARRANCABERMEJA"/>
        <s v="CALI CAÑAS GORDAS"/>
        <s v="CALI ALAMEDA"/>
      </sharedItems>
    </cacheField>
    <cacheField name="NOMBRE" numFmtId="0">
      <sharedItems/>
    </cacheField>
    <cacheField name="JORNADA" numFmtId="0">
      <sharedItems/>
    </cacheField>
    <cacheField name="ZONA" numFmtId="0">
      <sharedItems containsSemiMixedTypes="0" containsString="0" containsNumber="1" containsInteger="1" minValue="9001" maxValue="9009" count="9">
        <n v="9002"/>
        <n v="9004"/>
        <n v="9005"/>
        <n v="9003"/>
        <n v="9009"/>
        <n v="9001"/>
        <n v="9008"/>
        <n v="9007"/>
        <n v="9006"/>
      </sharedItems>
    </cacheField>
    <cacheField name="N° Cuentas" numFmtId="173">
      <sharedItems containsSemiMixedTypes="0" containsString="0" containsNumber="1" containsInteger="1" minValue="0" maxValue="301"/>
    </cacheField>
    <cacheField name="N° CDT" numFmtId="173">
      <sharedItems containsSemiMixedTypes="0" containsString="0" containsNumber="1" containsInteger="1" minValue="0" maxValue="33"/>
    </cacheField>
    <cacheField name="N° Tarjetas De Crédito" numFmtId="173">
      <sharedItems containsSemiMixedTypes="0" containsString="0" containsNumber="1" containsInteger="1" minValue="0" maxValue="21"/>
    </cacheField>
    <cacheField name="N° Debitos Automáticos" numFmtId="173">
      <sharedItems containsSemiMixedTypes="0" containsString="0" containsNumber="1" containsInteger="1" minValue="0" maxValue="17"/>
    </cacheField>
    <cacheField name="Plan Familia (Millones)" numFmtId="173">
      <sharedItems containsSemiMixedTypes="0" containsString="0" containsNumber="1" minValue="-1338560.5" maxValue="14049780.166666666"/>
    </cacheField>
    <cacheField name="Consumo (Millones)" numFmtId="173">
      <sharedItems containsSemiMixedTypes="0" containsString="0" containsNumber="1" minValue="-22900000" maxValue="456980000"/>
    </cacheField>
    <cacheField name="Libranza (Millones)" numFmtId="173">
      <sharedItems containsSemiMixedTypes="0" containsString="0" containsNumber="1" minValue="0" maxValue="207668105.23000002"/>
    </cacheField>
    <cacheField name="Compra Cartera (Millones)" numFmtId="173">
      <sharedItems containsSemiMixedTypes="0" containsString="0" containsNumber="1" containsInteger="1" minValue="0" maxValue="222157500"/>
    </cacheField>
    <cacheField name="Vehículo (Millones)" numFmtId="173">
      <sharedItems containsSemiMixedTypes="0" containsString="0" containsNumber="1" minValue="0" maxValue="111591000"/>
    </cacheField>
    <cacheField name="N°  Seguros Desempleo" numFmtId="173">
      <sharedItems containsSemiMixedTypes="0" containsString="0" containsNumber="1" containsInteger="1" minValue="0" maxValue="15"/>
    </cacheField>
    <cacheField name="N° Seguros Fraude" numFmtId="173">
      <sharedItems containsSemiMixedTypes="0" containsString="0" containsNumber="1" containsInteger="1" minValue="0" maxValue="39"/>
    </cacheField>
    <cacheField name="N° Seguros Accidentes Per." numFmtId="173">
      <sharedItems containsSemiMixedTypes="0" containsString="0" containsNumber="1" containsInteger="1" minValue="0" maxValue="28"/>
    </cacheField>
    <cacheField name="seguros" numFmtId="0" formula="'N°  Seguros Desempleo'+'N° Seguros Fraude'+'N° Seguros Accidentes Per.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ompaq" refreshedDate="44803.5669494213" createdVersion="5" refreshedVersion="5" minRefreshableVersion="3" recordCount="495">
  <cacheSource type="worksheet">
    <worksheetSource ref="A1:N496" sheet="Base ejecuciones Oct-17"/>
  </cacheSource>
  <cacheFields count="14">
    <cacheField name="CEDULA" numFmtId="0">
      <sharedItems containsSemiMixedTypes="0" containsString="0" containsNumber="1" containsInteger="1" minValue="5824284" maxValue="1233890202"/>
    </cacheField>
    <cacheField name="N° Cuentas" numFmtId="173">
      <sharedItems containsSemiMixedTypes="0" containsString="0" containsNumber="1" containsInteger="1" minValue="0" maxValue="301" count="116">
        <n v="64"/>
        <n v="93"/>
        <n v="61"/>
        <n v="63"/>
        <n v="80"/>
        <n v="28"/>
        <n v="55"/>
        <n v="59"/>
        <n v="92"/>
        <n v="69"/>
        <n v="41"/>
        <n v="40"/>
        <n v="90"/>
        <n v="45"/>
        <n v="65"/>
        <n v="73"/>
        <n v="109"/>
        <n v="46"/>
        <n v="60"/>
        <n v="37"/>
        <n v="51"/>
        <n v="79"/>
        <n v="76"/>
        <n v="86"/>
        <n v="84"/>
        <n v="34"/>
        <n v="49"/>
        <n v="99"/>
        <n v="56"/>
        <n v="87"/>
        <n v="94"/>
        <n v="57"/>
        <n v="78"/>
        <n v="29"/>
        <n v="100"/>
        <n v="74"/>
        <n v="42"/>
        <n v="25"/>
        <n v="43"/>
        <n v="53"/>
        <n v="44"/>
        <n v="75"/>
        <n v="35"/>
        <n v="70"/>
        <n v="108"/>
        <n v="48"/>
        <n v="89"/>
        <n v="14"/>
        <n v="62"/>
        <n v="67"/>
        <n v="66"/>
        <n v="58"/>
        <n v="31"/>
        <n v="85"/>
        <n v="52"/>
        <n v="103"/>
        <n v="54"/>
        <n v="156"/>
        <n v="77"/>
        <n v="72"/>
        <n v="144"/>
        <n v="27"/>
        <n v="33"/>
        <n v="91"/>
        <n v="68"/>
        <n v="47"/>
        <n v="36"/>
        <n v="81"/>
        <n v="38"/>
        <n v="117"/>
        <n v="26"/>
        <n v="98"/>
        <n v="82"/>
        <n v="0"/>
        <n v="218"/>
        <n v="96"/>
        <n v="104"/>
        <n v="135"/>
        <n v="102"/>
        <n v="24"/>
        <n v="114"/>
        <n v="20"/>
        <n v="118"/>
        <n v="50"/>
        <n v="71"/>
        <n v="39"/>
        <n v="21"/>
        <n v="145"/>
        <n v="18"/>
        <n v="32"/>
        <n v="17"/>
        <n v="88"/>
        <n v="178"/>
        <n v="95"/>
        <n v="301"/>
        <n v="298"/>
        <n v="23"/>
        <n v="111"/>
        <n v="8"/>
        <n v="134"/>
        <n v="19"/>
        <n v="127"/>
        <n v="12"/>
        <n v="201"/>
        <n v="11"/>
        <n v="212"/>
        <n v="129"/>
        <n v="13"/>
        <n v="83"/>
        <n v="132"/>
        <n v="126"/>
        <n v="204"/>
        <n v="7"/>
        <n v="121"/>
        <n v="110"/>
        <n v="30"/>
      </sharedItems>
    </cacheField>
    <cacheField name="N° CDT" numFmtId="173">
      <sharedItems containsSemiMixedTypes="0" containsString="0" containsNumber="1" containsInteger="1" minValue="0" maxValue="33"/>
    </cacheField>
    <cacheField name="N° Tarjetas De Crédito" numFmtId="173">
      <sharedItems containsSemiMixedTypes="0" containsString="0" containsNumber="1" containsInteger="1" minValue="0" maxValue="21"/>
    </cacheField>
    <cacheField name="N° Debitos Automáticos" numFmtId="173">
      <sharedItems containsSemiMixedTypes="0" containsString="0" containsNumber="1" containsInteger="1" minValue="0" maxValue="17"/>
    </cacheField>
    <cacheField name="Plan Familia (Millones)" numFmtId="173">
      <sharedItems containsSemiMixedTypes="0" containsString="0" containsNumber="1" minValue="-1338560.5" maxValue="14049780.166666666"/>
    </cacheField>
    <cacheField name="Consumo (Millones)" numFmtId="173">
      <sharedItems containsSemiMixedTypes="0" containsString="0" containsNumber="1" minValue="-22900000" maxValue="456980000"/>
    </cacheField>
    <cacheField name="Libranza (Millones)" numFmtId="173">
      <sharedItems containsSemiMixedTypes="0" containsString="0" containsNumber="1" minValue="0" maxValue="207668105.23000002" count="140">
        <n v="20000000"/>
        <n v="0"/>
        <n v="14500000"/>
        <n v="100000000"/>
        <n v="36000000"/>
        <n v="30000000"/>
        <n v="4968688.2800000012"/>
        <n v="7900000"/>
        <n v="42000000"/>
        <n v="6032766.7400000002"/>
        <n v="18000000"/>
        <n v="22500000"/>
        <n v="34000000"/>
        <n v="11600000"/>
        <n v="5200000"/>
        <n v="35000000"/>
        <n v="21000000"/>
        <n v="92000000"/>
        <n v="23000000"/>
        <n v="14000000"/>
        <n v="47000000"/>
        <n v="5000000"/>
        <n v="75000000"/>
        <n v="56977639.469999999"/>
        <n v="25500000"/>
        <n v="15800000"/>
        <n v="49860105.119999997"/>
        <n v="64462051.439999998"/>
        <n v="20500000"/>
        <n v="33500000"/>
        <n v="27825190.449999999"/>
        <n v="21800000"/>
        <n v="85000000"/>
        <n v="35603399.969999999"/>
        <n v="11091477.550000001"/>
        <n v="18615612.460000001"/>
        <n v="90000000"/>
        <n v="32000000"/>
        <n v="105700000"/>
        <n v="30200000"/>
        <n v="59000000"/>
        <n v="13000000"/>
        <n v="120000000"/>
        <n v="24000000"/>
        <n v="59100000"/>
        <n v="32299999.999999996"/>
        <n v="17903553.119999997"/>
        <n v="5484564.1000000015"/>
        <n v="60000000"/>
        <n v="15000000"/>
        <n v="76293182.719999999"/>
        <n v="44000000"/>
        <n v="9087330.6500000004"/>
        <n v="35523510.210000001"/>
        <n v="14679994.050000001"/>
        <n v="16549697.899999999"/>
        <n v="5044555.93"/>
        <n v="6439848.9900000002"/>
        <n v="10000000"/>
        <n v="127000000"/>
        <n v="37000000"/>
        <n v="111500000"/>
        <n v="77000000"/>
        <n v="37100000"/>
        <n v="76300000"/>
        <n v="33000000"/>
        <n v="65500000"/>
        <n v="207668105.23000002"/>
        <n v="5178664.16"/>
        <n v="50800000"/>
        <n v="50000000"/>
        <n v="12000000"/>
        <n v="69269497.900000006"/>
        <n v="11713214.76"/>
        <n v="25000000"/>
        <n v="25596527.91"/>
        <n v="64000000"/>
        <n v="98000000"/>
        <n v="13500000"/>
        <n v="28000000"/>
        <n v="11000000"/>
        <n v="88000000"/>
        <n v="68000000"/>
        <n v="87000000"/>
        <n v="36449367.149999999"/>
        <n v="31000000"/>
        <n v="43550000"/>
        <n v="11144474.059999999"/>
        <n v="81601600.280000001"/>
        <n v="40000000"/>
        <n v="111244442.39"/>
        <n v="5706083.2699999996"/>
        <n v="9622761.4100000001"/>
        <n v="22516863.990000002"/>
        <n v="73623215.329999998"/>
        <n v="1814466.8600000003"/>
        <n v="6500000"/>
        <n v="3250068.4399999995"/>
        <n v="23038518.77"/>
        <n v="22000000"/>
        <n v="17297752.879999999"/>
        <n v="82962147.819999993"/>
        <n v="46142000"/>
        <n v="39000000"/>
        <n v="19000000"/>
        <n v="24499724.379999999"/>
        <n v="9479940.5199999996"/>
        <n v="72950000"/>
        <n v="8364232.3999999985"/>
        <n v="4431320.3499999996"/>
        <n v="16500000"/>
        <n v="29578232.559999999"/>
        <n v="58100000"/>
        <n v="13528213.539999999"/>
        <n v="10193837.68"/>
        <n v="4235513.92"/>
        <n v="69500000"/>
        <n v="22552525.240000002"/>
        <n v="21018248.009999998"/>
        <n v="31326504.469999999"/>
        <n v="16000000"/>
        <n v="27496151.43"/>
        <n v="63584398.170000002"/>
        <n v="17938782.859999999"/>
        <n v="4068002.1700000013"/>
        <n v="83000000"/>
        <n v="17000000"/>
        <n v="52985343.600000001"/>
        <n v="40500000"/>
        <n v="26000000"/>
        <n v="20005485.350000001"/>
        <n v="15300000"/>
        <n v="5907923.4199999999"/>
        <n v="50700000"/>
        <n v="63000000"/>
        <n v="31300000"/>
        <n v="26500000"/>
        <n v="42500000"/>
        <n v="41000000"/>
        <n v="14700000"/>
      </sharedItems>
    </cacheField>
    <cacheField name="Compra Cartera (Millones)" numFmtId="173">
      <sharedItems containsSemiMixedTypes="0" containsString="0" containsNumber="1" containsInteger="1" minValue="0" maxValue="222157500"/>
    </cacheField>
    <cacheField name="Vehículo (Millones)" numFmtId="173">
      <sharedItems containsSemiMixedTypes="0" containsString="0" containsNumber="1" minValue="0" maxValue="111591000"/>
    </cacheField>
    <cacheField name="N°  Seguros Desempleo" numFmtId="173">
      <sharedItems containsSemiMixedTypes="0" containsString="0" containsNumber="1" containsInteger="1" minValue="0" maxValue="15"/>
    </cacheField>
    <cacheField name="N° Seguros Fraude" numFmtId="173">
      <sharedItems containsSemiMixedTypes="0" containsString="0" containsNumber="1" containsInteger="1" minValue="0" maxValue="39"/>
    </cacheField>
    <cacheField name="N° Seguros Accidentes Per." numFmtId="173">
      <sharedItems containsSemiMixedTypes="0" containsString="0" containsNumber="1" containsInteger="1" minValue="0" maxValue="28"/>
    </cacheField>
    <cacheField name="ZONA" numFmtId="173">
      <sharedItems containsString="0" containsBlank="1" containsNumber="1" containsInteger="1" minValue="9001" maxValue="9009" count="10">
        <n v="9002"/>
        <n v="9004"/>
        <n v="9005"/>
        <n v="9003"/>
        <n v="9009"/>
        <n v="9001"/>
        <n v="9008"/>
        <n v="9007"/>
        <n v="900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n v="9375240"/>
    <n v="12"/>
    <n v="9658"/>
    <x v="0"/>
    <s v="LUIS JAVIER FUENTES LEON"/>
    <s v="NORMAL"/>
    <x v="0"/>
    <n v="64"/>
    <n v="2"/>
    <n v="12"/>
    <n v="1"/>
    <n v="6150000"/>
    <n v="85000000"/>
    <n v="20000000"/>
    <n v="31588778"/>
    <n v="0"/>
    <n v="0"/>
    <n v="4"/>
    <n v="9"/>
  </r>
  <r>
    <n v="1023008416"/>
    <n v="73"/>
    <n v="9877"/>
    <x v="1"/>
    <s v="RUBEN DARIO JIMENEZ PRECIADO"/>
    <s v="NORMAL"/>
    <x v="1"/>
    <n v="93"/>
    <n v="6"/>
    <n v="16"/>
    <n v="10"/>
    <n v="9930000"/>
    <n v="91971593.650000006"/>
    <n v="0"/>
    <n v="75555084"/>
    <n v="0"/>
    <n v="6"/>
    <n v="16"/>
    <n v="5"/>
  </r>
  <r>
    <n v="41960913"/>
    <n v="228"/>
    <n v="31597"/>
    <x v="2"/>
    <s v="JESSICA ALEXANDRA GIL BERRIO"/>
    <s v="NORMAL"/>
    <x v="2"/>
    <n v="61"/>
    <n v="3"/>
    <n v="10"/>
    <n v="0"/>
    <n v="8055000"/>
    <n v="80200000"/>
    <n v="14500000"/>
    <n v="81043832"/>
    <n v="0"/>
    <n v="9"/>
    <n v="9"/>
    <n v="10"/>
  </r>
  <r>
    <n v="1010229345"/>
    <n v="280"/>
    <n v="36873"/>
    <x v="3"/>
    <s v="DAVID FELIPE VANEGAS DEL CASTILLO"/>
    <s v="NORMAL"/>
    <x v="3"/>
    <n v="63"/>
    <n v="2"/>
    <n v="14"/>
    <n v="4"/>
    <n v="7995000"/>
    <n v="103851600"/>
    <n v="100000000"/>
    <n v="123733612"/>
    <n v="0"/>
    <n v="4"/>
    <n v="5"/>
    <n v="0"/>
  </r>
  <r>
    <n v="1054920307"/>
    <n v="203"/>
    <n v="9817"/>
    <x v="4"/>
    <s v="LAURA LEDESMA TREJOS"/>
    <s v="NORMAL"/>
    <x v="2"/>
    <n v="80"/>
    <n v="3"/>
    <n v="15"/>
    <n v="5"/>
    <n v="7970833.333333333"/>
    <n v="75000000"/>
    <n v="36000000"/>
    <n v="69315000"/>
    <n v="0"/>
    <n v="5"/>
    <n v="10"/>
    <n v="8"/>
  </r>
  <r>
    <n v="1014256052"/>
    <n v="69"/>
    <n v="9983"/>
    <x v="5"/>
    <s v="RODOLFO LOZANO FAJARDO"/>
    <s v="NORMAL"/>
    <x v="1"/>
    <n v="28"/>
    <n v="1"/>
    <n v="14"/>
    <n v="0"/>
    <n v="9216250"/>
    <n v="99900000"/>
    <n v="0"/>
    <n v="42452982"/>
    <n v="0"/>
    <n v="10"/>
    <n v="11"/>
    <n v="12"/>
  </r>
  <r>
    <n v="1140864201"/>
    <n v="102"/>
    <n v="30978"/>
    <x v="6"/>
    <s v="ANGELICA BARRIOS TILANO"/>
    <s v="NORMAL"/>
    <x v="4"/>
    <n v="55"/>
    <n v="1"/>
    <n v="10"/>
    <n v="0"/>
    <n v="3630000"/>
    <n v="30000000"/>
    <n v="0"/>
    <n v="56422000"/>
    <n v="0"/>
    <n v="3"/>
    <n v="14"/>
    <n v="20"/>
  </r>
  <r>
    <n v="1017126050"/>
    <n v="862"/>
    <n v="9834"/>
    <x v="7"/>
    <s v="YINA MARCELA MARTINEZ"/>
    <s v="NORMAL"/>
    <x v="4"/>
    <n v="59"/>
    <n v="0"/>
    <n v="0"/>
    <n v="0"/>
    <n v="0"/>
    <n v="0"/>
    <n v="0"/>
    <n v="3426881"/>
    <n v="0"/>
    <n v="0"/>
    <n v="4"/>
    <n v="5"/>
  </r>
  <r>
    <n v="1075664031"/>
    <n v="868"/>
    <n v="8716"/>
    <x v="8"/>
    <s v="JENNY LIZETH DONCEL SAAVEDRA"/>
    <s v="NORMAL"/>
    <x v="5"/>
    <n v="92"/>
    <n v="1"/>
    <n v="16"/>
    <n v="2"/>
    <n v="8425000"/>
    <n v="155105226.19"/>
    <n v="30000000"/>
    <n v="69080527"/>
    <n v="0"/>
    <n v="2"/>
    <n v="7"/>
    <n v="1"/>
  </r>
  <r>
    <n v="1088267234"/>
    <n v="208"/>
    <n v="37380"/>
    <x v="9"/>
    <s v="MANUEL ALEJANDRO ALZATE PAVAS"/>
    <s v="NORMAL"/>
    <x v="2"/>
    <n v="69"/>
    <n v="3"/>
    <n v="12"/>
    <n v="7"/>
    <n v="1970000"/>
    <n v="80200000"/>
    <n v="0"/>
    <n v="140672641"/>
    <n v="0"/>
    <n v="3"/>
    <n v="4"/>
    <n v="3"/>
  </r>
  <r>
    <n v="1030553203"/>
    <n v="16"/>
    <n v="37820"/>
    <x v="10"/>
    <s v="LISETH NATALIA AGUILERA MONTAÐEZ"/>
    <s v="NORMAL"/>
    <x v="3"/>
    <n v="41"/>
    <n v="1"/>
    <n v="6"/>
    <n v="3"/>
    <n v="615000"/>
    <n v="51770119"/>
    <n v="0"/>
    <n v="30344466"/>
    <n v="0"/>
    <n v="0"/>
    <n v="3"/>
    <n v="0"/>
  </r>
  <r>
    <n v="1088288465"/>
    <n v="201"/>
    <n v="9520"/>
    <x v="11"/>
    <s v="VANESA LORENA SOTO DUQUE"/>
    <s v="NORMAL"/>
    <x v="2"/>
    <n v="40"/>
    <n v="2"/>
    <n v="16"/>
    <n v="2"/>
    <n v="8001014.666666666"/>
    <n v="105600000"/>
    <n v="0"/>
    <n v="36451600"/>
    <n v="0"/>
    <n v="4"/>
    <n v="10"/>
    <n v="10"/>
  </r>
  <r>
    <n v="1012357343"/>
    <n v="69"/>
    <n v="9532"/>
    <x v="5"/>
    <s v="DIANA VARELA"/>
    <s v="NORMAL"/>
    <x v="1"/>
    <n v="90"/>
    <n v="1"/>
    <n v="13"/>
    <n v="3"/>
    <n v="7810000"/>
    <n v="8500000"/>
    <n v="4968688.2800000012"/>
    <n v="15384775"/>
    <n v="0"/>
    <n v="1"/>
    <n v="1"/>
    <n v="2"/>
  </r>
  <r>
    <n v="1090481863"/>
    <n v="136"/>
    <n v="37157"/>
    <x v="12"/>
    <s v="MARY STEPHANI YERENA GUERRERO"/>
    <s v="NORMAL"/>
    <x v="6"/>
    <n v="69"/>
    <n v="3"/>
    <n v="7"/>
    <n v="2"/>
    <n v="3690000"/>
    <n v="90000000"/>
    <n v="0"/>
    <n v="33343246"/>
    <n v="0"/>
    <n v="0"/>
    <n v="12"/>
    <n v="4"/>
  </r>
  <r>
    <n v="52911577"/>
    <n v="22"/>
    <n v="9437"/>
    <x v="13"/>
    <s v="JENNY ELIZABETH RODRIGUEZ CAðON"/>
    <s v="NORMAL"/>
    <x v="3"/>
    <n v="45"/>
    <n v="3"/>
    <n v="13"/>
    <n v="2"/>
    <n v="2865416.666666667"/>
    <n v="91000000"/>
    <n v="7900000"/>
    <n v="124983990"/>
    <n v="0"/>
    <n v="0"/>
    <n v="7"/>
    <n v="2"/>
  </r>
  <r>
    <n v="1016047173"/>
    <n v="63"/>
    <n v="38749"/>
    <x v="14"/>
    <s v="JULY PAOLA MORENO PARDO"/>
    <s v="ADICIONAL"/>
    <x v="1"/>
    <n v="55"/>
    <n v="3"/>
    <n v="10"/>
    <n v="0"/>
    <n v="0"/>
    <n v="91000000"/>
    <n v="0"/>
    <n v="44399475"/>
    <n v="0"/>
    <n v="0"/>
    <n v="4"/>
    <n v="0"/>
  </r>
  <r>
    <n v="86061163"/>
    <n v="94"/>
    <n v="9928"/>
    <x v="15"/>
    <s v="ANDRES FELIPE SANTOS DUARTE"/>
    <s v="NORMAL"/>
    <x v="6"/>
    <n v="65"/>
    <n v="3"/>
    <n v="4"/>
    <n v="6"/>
    <n v="6275000"/>
    <n v="56100000"/>
    <n v="0"/>
    <n v="72934137"/>
    <n v="0"/>
    <n v="5"/>
    <n v="7"/>
    <n v="6"/>
  </r>
  <r>
    <n v="1014177866"/>
    <n v="13"/>
    <n v="9600"/>
    <x v="16"/>
    <s v="BRAYAN JULIAN CLAVIJO MARTINEZ"/>
    <s v="NORMAL"/>
    <x v="0"/>
    <n v="73"/>
    <n v="2"/>
    <n v="9"/>
    <n v="4"/>
    <n v="-1338560.5"/>
    <n v="0"/>
    <n v="42000000"/>
    <n v="91291845"/>
    <n v="0"/>
    <n v="0"/>
    <n v="4"/>
    <n v="17"/>
  </r>
  <r>
    <n v="1098784756"/>
    <n v="131"/>
    <n v="37160"/>
    <x v="17"/>
    <s v="YANITH SELENA QUINTERO PEREZ"/>
    <s v="NORMAL"/>
    <x v="6"/>
    <n v="109"/>
    <n v="2"/>
    <n v="11"/>
    <n v="1"/>
    <n v="2645000"/>
    <n v="25000000"/>
    <n v="6032766.7400000002"/>
    <n v="56548786"/>
    <n v="20000000"/>
    <n v="2"/>
    <n v="2"/>
    <n v="4"/>
  </r>
  <r>
    <n v="78031890"/>
    <n v="171"/>
    <n v="36814"/>
    <x v="18"/>
    <s v="SERGIO RHENALS"/>
    <s v="NORMAL"/>
    <x v="7"/>
    <n v="60"/>
    <n v="2"/>
    <n v="3"/>
    <n v="2"/>
    <n v="7214834.166666667"/>
    <n v="91200000"/>
    <n v="0"/>
    <n v="39819000"/>
    <n v="0"/>
    <n v="8"/>
    <n v="7"/>
    <n v="14"/>
  </r>
  <r>
    <n v="80169986"/>
    <n v="468"/>
    <n v="9457"/>
    <x v="19"/>
    <s v="MAURICIO ANDRES SARRIA TORRES"/>
    <s v="NORMAL"/>
    <x v="1"/>
    <n v="63"/>
    <n v="4"/>
    <n v="13"/>
    <n v="6"/>
    <n v="7248568.5"/>
    <n v="62400000"/>
    <n v="0"/>
    <n v="113212900"/>
    <n v="0"/>
    <n v="6"/>
    <n v="14"/>
    <n v="6"/>
  </r>
  <r>
    <n v="1073383917"/>
    <n v="792"/>
    <n v="9910"/>
    <x v="20"/>
    <s v="ANDREA JOHANA ROBAYO A"/>
    <s v="ADICIONAL"/>
    <x v="0"/>
    <n v="37"/>
    <n v="1"/>
    <n v="3"/>
    <n v="2"/>
    <n v="1230000"/>
    <n v="10000000"/>
    <n v="0"/>
    <n v="22540000"/>
    <n v="0"/>
    <n v="1"/>
    <n v="0"/>
    <n v="0"/>
  </r>
  <r>
    <n v="1128391746"/>
    <n v="171"/>
    <n v="34500"/>
    <x v="18"/>
    <s v="ALEJANDRA PINEDA"/>
    <s v="NORMAL"/>
    <x v="7"/>
    <n v="51"/>
    <n v="1"/>
    <n v="4"/>
    <n v="4"/>
    <n v="6090000"/>
    <n v="82480000"/>
    <n v="22500000"/>
    <n v="61527000"/>
    <n v="0"/>
    <n v="8"/>
    <n v="11"/>
    <n v="8"/>
  </r>
  <r>
    <n v="1088284278"/>
    <n v="204"/>
    <n v="9118"/>
    <x v="21"/>
    <s v="IRMA LUCIA BERMUDEZ UTIMA"/>
    <s v="NORMAL"/>
    <x v="2"/>
    <n v="69"/>
    <n v="5"/>
    <n v="12"/>
    <n v="10"/>
    <n v="9693000"/>
    <n v="161500000"/>
    <n v="34000000"/>
    <n v="136409648"/>
    <n v="0"/>
    <n v="7"/>
    <n v="10"/>
    <n v="9"/>
  </r>
  <r>
    <n v="42140064"/>
    <n v="201"/>
    <n v="8683"/>
    <x v="11"/>
    <s v="CATALINA FUENTES MARIN"/>
    <s v="NORMAL"/>
    <x v="2"/>
    <n v="79"/>
    <n v="6"/>
    <n v="10"/>
    <n v="7"/>
    <n v="9911666.666666666"/>
    <n v="62800000.000000007"/>
    <n v="11600000"/>
    <n v="86206921"/>
    <n v="0"/>
    <n v="7"/>
    <n v="13"/>
    <n v="11"/>
  </r>
  <r>
    <n v="1098657835"/>
    <n v="278"/>
    <n v="37878"/>
    <x v="22"/>
    <s v="NIDIA NATALIA TORRES TRIANA"/>
    <s v="NORMAL"/>
    <x v="6"/>
    <n v="76"/>
    <n v="0"/>
    <n v="11"/>
    <n v="9"/>
    <n v="1391472"/>
    <n v="22300000"/>
    <n v="5200000"/>
    <n v="89759707"/>
    <n v="0"/>
    <n v="3"/>
    <n v="6"/>
    <n v="7"/>
  </r>
  <r>
    <n v="39758972"/>
    <n v="33"/>
    <n v="8063"/>
    <x v="23"/>
    <s v="OLGA LUCIA BELTRAN AVILA"/>
    <s v="NORMAL"/>
    <x v="5"/>
    <n v="86"/>
    <n v="3"/>
    <n v="8"/>
    <n v="5"/>
    <n v="1430416.6666666667"/>
    <n v="37300000"/>
    <n v="35000000"/>
    <n v="37903000"/>
    <n v="0"/>
    <n v="5"/>
    <n v="18"/>
    <n v="10"/>
  </r>
  <r>
    <n v="1093223462"/>
    <n v="206"/>
    <n v="36467"/>
    <x v="24"/>
    <s v="JESICA GARCIA PULIDO"/>
    <s v="NORMAL"/>
    <x v="2"/>
    <n v="84"/>
    <n v="7"/>
    <n v="13"/>
    <n v="5"/>
    <n v="7581250"/>
    <n v="41200000"/>
    <n v="21000000"/>
    <n v="83879495"/>
    <n v="0"/>
    <n v="6"/>
    <n v="15"/>
    <n v="17"/>
  </r>
  <r>
    <n v="1020756518"/>
    <n v="23"/>
    <n v="37597"/>
    <x v="25"/>
    <s v="MAYERLLY STEFANIA BAYONA"/>
    <s v="NORMAL"/>
    <x v="5"/>
    <n v="34"/>
    <n v="7"/>
    <n v="10"/>
    <n v="5"/>
    <n v="370000"/>
    <n v="34500000"/>
    <n v="0"/>
    <n v="58950850"/>
    <n v="0"/>
    <n v="2"/>
    <n v="2"/>
    <n v="6"/>
  </r>
  <r>
    <n v="1090416967"/>
    <n v="135"/>
    <n v="38358"/>
    <x v="26"/>
    <s v="VIVIANA ANDREA SANDOVAL C"/>
    <s v="NORMAL"/>
    <x v="6"/>
    <n v="76"/>
    <n v="1"/>
    <n v="13"/>
    <n v="1"/>
    <n v="7136666.666666667"/>
    <n v="79400000"/>
    <n v="0"/>
    <n v="33332367"/>
    <n v="0"/>
    <n v="2"/>
    <n v="17"/>
    <n v="16"/>
  </r>
  <r>
    <n v="1012346611"/>
    <n v="73"/>
    <n v="9508"/>
    <x v="1"/>
    <s v="YAMILE FAJARDO"/>
    <s v="NORMAL"/>
    <x v="1"/>
    <n v="49"/>
    <n v="10"/>
    <n v="12"/>
    <n v="2"/>
    <n v="2460000"/>
    <n v="20000000"/>
    <n v="92000000"/>
    <n v="9340000"/>
    <n v="0"/>
    <n v="2"/>
    <n v="7"/>
    <n v="4"/>
  </r>
  <r>
    <n v="52458890"/>
    <n v="196"/>
    <n v="8630"/>
    <x v="27"/>
    <s v="PAOLA ANDREA GARZON PARRA"/>
    <s v="NORMAL"/>
    <x v="3"/>
    <n v="99"/>
    <n v="0"/>
    <n v="13"/>
    <n v="4"/>
    <n v="8550000"/>
    <n v="81700000"/>
    <n v="0"/>
    <n v="54215000"/>
    <n v="0"/>
    <n v="6"/>
    <n v="7"/>
    <n v="3"/>
  </r>
  <r>
    <n v="73199300"/>
    <n v="115"/>
    <n v="9588"/>
    <x v="28"/>
    <s v="MICHAEL EDUARDO GALVIS MARTINEZ"/>
    <s v="NORMAL"/>
    <x v="4"/>
    <n v="76"/>
    <n v="2"/>
    <n v="5"/>
    <n v="0"/>
    <n v="3924749.5"/>
    <n v="35000000"/>
    <n v="0"/>
    <n v="20690084"/>
    <n v="0"/>
    <n v="2"/>
    <n v="8"/>
    <n v="24"/>
  </r>
  <r>
    <n v="43996380"/>
    <n v="276"/>
    <n v="38620"/>
    <x v="29"/>
    <s v="CASTILLO PENAGOS LILIANA"/>
    <s v="NORMAL"/>
    <x v="7"/>
    <n v="69"/>
    <n v="5"/>
    <n v="13"/>
    <n v="5"/>
    <n v="7505000"/>
    <n v="193385000"/>
    <n v="0"/>
    <n v="141795661"/>
    <n v="0"/>
    <n v="9"/>
    <n v="12"/>
    <n v="11"/>
  </r>
  <r>
    <n v="40394022"/>
    <n v="558"/>
    <n v="8207"/>
    <x v="30"/>
    <s v="GLORIA CASAS COBUS"/>
    <s v="NORMAL"/>
    <x v="6"/>
    <n v="56"/>
    <n v="1"/>
    <n v="8"/>
    <n v="2"/>
    <n v="7380000"/>
    <n v="138300000"/>
    <n v="23000000"/>
    <n v="26835381"/>
    <n v="0"/>
    <n v="9"/>
    <n v="10"/>
    <n v="10"/>
  </r>
  <r>
    <n v="24552785"/>
    <n v="206"/>
    <n v="38220"/>
    <x v="24"/>
    <s v="ADRIANA MILENA VANEGAS SALAZAR"/>
    <s v="NORMAL"/>
    <x v="2"/>
    <n v="80"/>
    <n v="1"/>
    <n v="4"/>
    <n v="11"/>
    <n v="3445000"/>
    <n v="63000000"/>
    <n v="0"/>
    <n v="62179271"/>
    <n v="0"/>
    <n v="1"/>
    <n v="8"/>
    <n v="5"/>
  </r>
  <r>
    <n v="1063146925"/>
    <n v="6"/>
    <n v="9610"/>
    <x v="31"/>
    <s v="ANDRES ALTAMIRANDA"/>
    <s v="NORMAL"/>
    <x v="0"/>
    <n v="65"/>
    <n v="2"/>
    <n v="12"/>
    <n v="2"/>
    <n v="9276250"/>
    <n v="75400000"/>
    <n v="14000000"/>
    <n v="73657212"/>
    <n v="0"/>
    <n v="3"/>
    <n v="3"/>
    <n v="4"/>
  </r>
  <r>
    <n v="1143835057"/>
    <n v="141"/>
    <n v="9534"/>
    <x v="32"/>
    <s v="CARLOS BUENO"/>
    <s v="NORMAL"/>
    <x v="8"/>
    <n v="87"/>
    <n v="7"/>
    <n v="12"/>
    <n v="2"/>
    <n v="10641539.166666666"/>
    <n v="105765479.67"/>
    <n v="47000000"/>
    <n v="73418600"/>
    <n v="0"/>
    <n v="10"/>
    <n v="14"/>
    <n v="8"/>
  </r>
  <r>
    <n v="1037599855"/>
    <n v="952"/>
    <n v="37969"/>
    <x v="33"/>
    <s v="NATHALY LOPEZ"/>
    <s v="NORMAL"/>
    <x v="7"/>
    <n v="41"/>
    <n v="1"/>
    <n v="1"/>
    <n v="3"/>
    <n v="5735416.666666667"/>
    <n v="105765280.08"/>
    <n v="0"/>
    <n v="83624048"/>
    <n v="0"/>
    <n v="5"/>
    <n v="12"/>
    <n v="10"/>
  </r>
  <r>
    <n v="1121860724"/>
    <n v="29"/>
    <n v="38237"/>
    <x v="34"/>
    <s v="ALFONSO TRUJILLO DULCEY"/>
    <s v="NORMAL"/>
    <x v="5"/>
    <n v="37"/>
    <n v="7"/>
    <n v="12"/>
    <n v="3"/>
    <n v="4120000"/>
    <n v="22230000"/>
    <n v="5000000"/>
    <n v="117961000"/>
    <n v="0"/>
    <n v="3"/>
    <n v="7"/>
    <n v="0"/>
  </r>
  <r>
    <n v="1014186944"/>
    <n v="629"/>
    <n v="8997"/>
    <x v="35"/>
    <s v="NATALIA CAÐAS PINO"/>
    <s v="NORMAL"/>
    <x v="5"/>
    <n v="94"/>
    <n v="2"/>
    <n v="3"/>
    <n v="1"/>
    <n v="5780000"/>
    <n v="148300000"/>
    <n v="75000000"/>
    <n v="79790050"/>
    <n v="0"/>
    <n v="6"/>
    <n v="3"/>
    <n v="3"/>
  </r>
  <r>
    <n v="1022390564"/>
    <n v="3"/>
    <n v="32077"/>
    <x v="36"/>
    <s v="ANGIE PAOLA RUIZ GORDILLO"/>
    <s v="NORMAL"/>
    <x v="3"/>
    <n v="37"/>
    <n v="1"/>
    <n v="12"/>
    <n v="4"/>
    <n v="5553000"/>
    <n v="77800000"/>
    <n v="56977639.469999999"/>
    <n v="92376044"/>
    <n v="0"/>
    <n v="11"/>
    <n v="17"/>
    <n v="17"/>
  </r>
  <r>
    <n v="53013251"/>
    <n v="11"/>
    <n v="9350"/>
    <x v="37"/>
    <s v="YINA MARCELA ACEVEDO"/>
    <s v="NORMAL"/>
    <x v="0"/>
    <n v="57"/>
    <n v="1"/>
    <n v="8"/>
    <n v="4"/>
    <n v="8050268.666666667"/>
    <n v="54800000"/>
    <n v="0"/>
    <n v="142320000"/>
    <n v="0"/>
    <n v="9"/>
    <n v="10"/>
    <n v="11"/>
  </r>
  <r>
    <n v="53071321"/>
    <n v="197"/>
    <n v="9786"/>
    <x v="38"/>
    <s v="LILIANA GALINDO RAMIREZ"/>
    <s v="NORMAL"/>
    <x v="5"/>
    <n v="78"/>
    <n v="8"/>
    <n v="15"/>
    <n v="2"/>
    <n v="8610000"/>
    <n v="68000000"/>
    <n v="0"/>
    <n v="172125941"/>
    <n v="0"/>
    <n v="0"/>
    <n v="0"/>
    <n v="0"/>
  </r>
  <r>
    <n v="1007438660"/>
    <n v="43"/>
    <n v="36412"/>
    <x v="39"/>
    <s v="ANDERSON VARGAS TOCORA"/>
    <s v="NORMAL"/>
    <x v="0"/>
    <n v="60"/>
    <n v="0"/>
    <n v="10"/>
    <n v="4"/>
    <n v="7392798.333333333"/>
    <n v="50100000"/>
    <n v="0"/>
    <n v="37178000"/>
    <n v="0"/>
    <n v="0"/>
    <n v="10"/>
    <n v="10"/>
  </r>
  <r>
    <n v="22790319"/>
    <n v="914"/>
    <n v="8356"/>
    <x v="40"/>
    <s v="CLAUDIA LLAMAS TENORIO"/>
    <s v="NORMAL"/>
    <x v="7"/>
    <n v="51"/>
    <n v="1"/>
    <n v="7"/>
    <n v="0"/>
    <n v="7195000"/>
    <n v="69000000"/>
    <n v="0"/>
    <n v="39970725"/>
    <n v="0"/>
    <n v="2"/>
    <n v="6"/>
    <n v="2"/>
  </r>
  <r>
    <n v="1037602972"/>
    <n v="692"/>
    <n v="37897"/>
    <x v="41"/>
    <s v="DANIEL ACOSTA OLARTE"/>
    <s v="NORMAL"/>
    <x v="7"/>
    <n v="29"/>
    <n v="0"/>
    <n v="12"/>
    <n v="5"/>
    <n v="1894250"/>
    <n v="81300000"/>
    <n v="0"/>
    <n v="186017067"/>
    <n v="0"/>
    <n v="2"/>
    <n v="10"/>
    <n v="8"/>
  </r>
  <r>
    <n v="53001497"/>
    <n v="509"/>
    <n v="9198"/>
    <x v="42"/>
    <s v="YADY ASTRID RIVERA VARGAS"/>
    <s v="NORMAL"/>
    <x v="5"/>
    <n v="34"/>
    <n v="3"/>
    <n v="12"/>
    <n v="4"/>
    <n v="3690000"/>
    <n v="141800000"/>
    <n v="25500000"/>
    <n v="139733909"/>
    <n v="0"/>
    <n v="0"/>
    <n v="10"/>
    <n v="4"/>
  </r>
  <r>
    <n v="1095942918"/>
    <n v="130"/>
    <n v="36529"/>
    <x v="43"/>
    <s v="FRANCY DANIELA RUGELES CALVETE"/>
    <s v="NORMAL"/>
    <x v="6"/>
    <n v="100"/>
    <n v="4"/>
    <n v="9"/>
    <n v="1"/>
    <n v="0"/>
    <n v="25400000"/>
    <n v="23000000"/>
    <n v="33038491"/>
    <n v="0"/>
    <n v="1"/>
    <n v="4"/>
    <n v="1"/>
  </r>
  <r>
    <n v="1032445027"/>
    <n v="6"/>
    <n v="8747"/>
    <x v="31"/>
    <s v="SEBASTIAN MOSSO"/>
    <s v="NORMAL"/>
    <x v="0"/>
    <n v="74"/>
    <n v="3"/>
    <n v="12"/>
    <n v="0"/>
    <n v="4305000"/>
    <n v="31700000"/>
    <n v="20000000"/>
    <n v="83600915"/>
    <n v="0"/>
    <n v="2"/>
    <n v="5"/>
    <n v="1"/>
  </r>
  <r>
    <n v="1143122100"/>
    <n v="101"/>
    <n v="9960"/>
    <x v="44"/>
    <s v="ERNESTO EDUARDO VELEZ ARROYO"/>
    <s v="NORMAL"/>
    <x v="4"/>
    <n v="42"/>
    <n v="1"/>
    <n v="15"/>
    <n v="1"/>
    <n v="6420442"/>
    <n v="82100000"/>
    <n v="0"/>
    <n v="66355416"/>
    <n v="0"/>
    <n v="0"/>
    <n v="10"/>
    <n v="4"/>
  </r>
  <r>
    <n v="1022976107"/>
    <n v="4"/>
    <n v="9917"/>
    <x v="45"/>
    <s v="CHAPARRO JAIME, SEBASTIAN"/>
    <s v="NORMAL"/>
    <x v="0"/>
    <n v="41"/>
    <n v="2"/>
    <n v="6"/>
    <n v="5"/>
    <n v="5720000"/>
    <n v="20000000"/>
    <n v="0"/>
    <n v="36430000"/>
    <n v="0"/>
    <n v="8"/>
    <n v="2"/>
    <n v="0"/>
  </r>
  <r>
    <n v="1036610700"/>
    <n v="928"/>
    <n v="36640"/>
    <x v="46"/>
    <s v="DEISY ALEJANDRA JIMENEZ FORTICH"/>
    <s v="NORMAL"/>
    <x v="7"/>
    <n v="78"/>
    <n v="4"/>
    <n v="7"/>
    <n v="0"/>
    <n v="1845000"/>
    <n v="28800000"/>
    <n v="0"/>
    <n v="71570812"/>
    <n v="0"/>
    <n v="1"/>
    <n v="1"/>
    <n v="6"/>
  </r>
  <r>
    <n v="40411747"/>
    <n v="558"/>
    <n v="8835"/>
    <x v="30"/>
    <s v="ROCIO DEL PILAR PATERNINA"/>
    <s v="NORMAL"/>
    <x v="6"/>
    <n v="56"/>
    <n v="1"/>
    <n v="6"/>
    <n v="3"/>
    <n v="9040000"/>
    <n v="138000000"/>
    <n v="15800000"/>
    <n v="90856000"/>
    <n v="0"/>
    <n v="7"/>
    <n v="8"/>
    <n v="7"/>
  </r>
  <r>
    <n v="1112762663"/>
    <n v="885"/>
    <n v="9419"/>
    <x v="47"/>
    <s v="CARLOS EDUARDO SOTO CARDONA"/>
    <s v="NORMAL"/>
    <x v="2"/>
    <n v="25"/>
    <n v="2"/>
    <n v="5"/>
    <n v="2"/>
    <n v="3146666.6666666665"/>
    <n v="56000000"/>
    <n v="49860105.119999997"/>
    <n v="7410000"/>
    <n v="0"/>
    <n v="2"/>
    <n v="2"/>
    <n v="2"/>
  </r>
  <r>
    <n v="1018494555"/>
    <n v="3"/>
    <n v="36402"/>
    <x v="36"/>
    <s v="JEIMY NATHALY PINZON SILVA"/>
    <s v="NORMAL"/>
    <x v="3"/>
    <n v="45"/>
    <n v="7"/>
    <n v="12"/>
    <n v="2"/>
    <n v="-966666.66666666674"/>
    <n v="28400000"/>
    <n v="64462051.439999998"/>
    <n v="85011935"/>
    <n v="0"/>
    <n v="1"/>
    <n v="6"/>
    <n v="2"/>
  </r>
  <r>
    <n v="1090377515"/>
    <n v="135"/>
    <n v="16267"/>
    <x v="26"/>
    <s v="LISBETH CAROLINA BECERRA"/>
    <s v="NORMAL"/>
    <x v="6"/>
    <n v="43"/>
    <n v="1"/>
    <n v="5"/>
    <n v="1"/>
    <n v="4920000"/>
    <n v="40000000"/>
    <n v="0"/>
    <n v="13632218"/>
    <n v="0"/>
    <n v="2"/>
    <n v="6"/>
    <n v="6"/>
  </r>
  <r>
    <n v="1097406024"/>
    <n v="228"/>
    <n v="37357"/>
    <x v="2"/>
    <s v="CRISTIAN CAMILO JOVER PEREZ"/>
    <s v="NORMAL"/>
    <x v="2"/>
    <n v="78"/>
    <n v="3"/>
    <n v="12"/>
    <n v="3"/>
    <n v="11070000"/>
    <n v="204047592.69999999"/>
    <n v="20500000"/>
    <n v="33120282"/>
    <n v="0"/>
    <n v="9"/>
    <n v="9"/>
    <n v="11"/>
  </r>
  <r>
    <n v="1026259310"/>
    <n v="65"/>
    <n v="31592"/>
    <x v="48"/>
    <s v="LADY JOHANA ESTRADA DELGADO"/>
    <s v="NORMAL"/>
    <x v="1"/>
    <n v="61"/>
    <n v="2"/>
    <n v="3"/>
    <n v="15"/>
    <n v="1969013.5"/>
    <n v="31000000"/>
    <n v="33500000"/>
    <n v="33174162"/>
    <n v="0"/>
    <n v="5"/>
    <n v="8"/>
    <n v="8"/>
  </r>
  <r>
    <n v="1045701669"/>
    <n v="913"/>
    <n v="8281"/>
    <x v="49"/>
    <s v="KARINA SUAREZ ORTEGA"/>
    <s v="NORMAL"/>
    <x v="4"/>
    <n v="53"/>
    <n v="1"/>
    <n v="9"/>
    <n v="4"/>
    <n v="7195000"/>
    <n v="123000000"/>
    <n v="0"/>
    <n v="80001292"/>
    <n v="0"/>
    <n v="9"/>
    <n v="8"/>
    <n v="10"/>
  </r>
  <r>
    <n v="80014264"/>
    <n v="12"/>
    <n v="10514"/>
    <x v="0"/>
    <s v="HERNAN DARIO CORTES"/>
    <s v="NORMAL"/>
    <x v="0"/>
    <n v="64"/>
    <n v="2"/>
    <n v="9"/>
    <n v="0"/>
    <n v="3690000"/>
    <n v="104890131"/>
    <n v="0"/>
    <n v="13595463"/>
    <n v="0"/>
    <n v="0"/>
    <n v="0"/>
    <n v="3"/>
  </r>
  <r>
    <n v="1019079546"/>
    <n v="5"/>
    <n v="36058"/>
    <x v="50"/>
    <s v="NATALIA VALDERRAMA"/>
    <s v="NORMAL"/>
    <x v="0"/>
    <n v="55"/>
    <n v="2"/>
    <n v="15"/>
    <n v="4"/>
    <n v="7310564.25"/>
    <n v="60632000"/>
    <n v="27825190.449999999"/>
    <n v="113501655"/>
    <n v="0"/>
    <n v="1"/>
    <n v="6"/>
    <n v="3"/>
  </r>
  <r>
    <n v="1093760054"/>
    <n v="136"/>
    <n v="9525"/>
    <x v="12"/>
    <s v="PAULA ANDREA GARCIA SOLANO"/>
    <s v="NORMAL"/>
    <x v="6"/>
    <n v="46"/>
    <n v="4"/>
    <n v="20"/>
    <n v="3"/>
    <n v="7320000"/>
    <n v="84200000"/>
    <n v="0"/>
    <n v="116588537"/>
    <n v="0"/>
    <n v="3"/>
    <n v="39"/>
    <n v="14"/>
  </r>
  <r>
    <n v="1140861189"/>
    <n v="102"/>
    <n v="9878"/>
    <x v="6"/>
    <s v="WILSON ELIAS GONZALEZ BELEÐO"/>
    <s v="NORMAL"/>
    <x v="4"/>
    <n v="44"/>
    <n v="6"/>
    <n v="8"/>
    <n v="0"/>
    <n v="4080000"/>
    <n v="37000000"/>
    <n v="21800000"/>
    <n v="52497728"/>
    <n v="0"/>
    <n v="5"/>
    <n v="9"/>
    <n v="13"/>
  </r>
  <r>
    <n v="80001235"/>
    <n v="63"/>
    <n v="9540"/>
    <x v="14"/>
    <s v="JUAN DE JESUS GOMEZ"/>
    <s v="NORMAL"/>
    <x v="1"/>
    <n v="75"/>
    <n v="8"/>
    <n v="12"/>
    <n v="3"/>
    <n v="2645000"/>
    <n v="56200000"/>
    <n v="85000000"/>
    <n v="26923831"/>
    <n v="0"/>
    <n v="3"/>
    <n v="9"/>
    <n v="5"/>
  </r>
  <r>
    <n v="1105786644"/>
    <n v="23"/>
    <n v="31393"/>
    <x v="25"/>
    <s v="LIZETH STEFANY ZARATE"/>
    <s v="NORMAL"/>
    <x v="5"/>
    <n v="51"/>
    <n v="3"/>
    <n v="14"/>
    <n v="3"/>
    <n v="2337500"/>
    <n v="168800000"/>
    <n v="0"/>
    <n v="78198126"/>
    <n v="0"/>
    <n v="0"/>
    <n v="13"/>
    <n v="12"/>
  </r>
  <r>
    <n v="53070485"/>
    <n v="156"/>
    <n v="9994"/>
    <x v="51"/>
    <s v="SANDRA YELENA PINZON PINZON"/>
    <s v="NORMAL"/>
    <x v="1"/>
    <n v="35"/>
    <n v="0"/>
    <n v="19"/>
    <n v="1"/>
    <n v="14049780.166666666"/>
    <n v="125444654.45"/>
    <n v="35603399.969999999"/>
    <n v="30660849"/>
    <n v="0"/>
    <n v="12"/>
    <n v="20"/>
    <n v="17"/>
  </r>
  <r>
    <n v="1090469124"/>
    <n v="895"/>
    <n v="37094"/>
    <x v="52"/>
    <s v="ANYELA JULIANA TRIANA DIAZ"/>
    <s v="NORMAL"/>
    <x v="6"/>
    <n v="70"/>
    <n v="1"/>
    <n v="12"/>
    <n v="0"/>
    <n v="1537500"/>
    <n v="55495538"/>
    <n v="11091477.550000001"/>
    <n v="36672937"/>
    <n v="0"/>
    <n v="15"/>
    <n v="21"/>
    <n v="25"/>
  </r>
  <r>
    <n v="1075677501"/>
    <n v="25"/>
    <n v="36380"/>
    <x v="53"/>
    <s v="LAURA VALENTINA SANCHEZ RODRIGUEZ"/>
    <s v="NORMAL"/>
    <x v="5"/>
    <n v="108"/>
    <n v="5"/>
    <n v="9"/>
    <n v="3"/>
    <n v="2645000"/>
    <n v="133662250"/>
    <n v="18615612.460000001"/>
    <n v="115679948"/>
    <n v="0"/>
    <n v="2"/>
    <n v="1"/>
    <n v="2"/>
  </r>
  <r>
    <n v="51968566"/>
    <n v="29"/>
    <n v="8056"/>
    <x v="34"/>
    <s v="CLAUDIA RINCON"/>
    <s v="NORMAL"/>
    <x v="5"/>
    <n v="60"/>
    <n v="9"/>
    <n v="14"/>
    <n v="12"/>
    <n v="7682269.166666667"/>
    <n v="100100000"/>
    <n v="90000000"/>
    <n v="158088000"/>
    <n v="0"/>
    <n v="4"/>
    <n v="5"/>
    <n v="3"/>
  </r>
  <r>
    <n v="1144139793"/>
    <n v="765"/>
    <n v="38814"/>
    <x v="54"/>
    <s v="LEYDI RUEDA"/>
    <s v="NORMAL"/>
    <x v="8"/>
    <n v="48"/>
    <n v="0"/>
    <n v="13"/>
    <n v="0"/>
    <n v="3075000"/>
    <n v="26700000"/>
    <n v="0"/>
    <n v="37095376"/>
    <n v="0"/>
    <n v="3"/>
    <n v="4"/>
    <n v="7"/>
  </r>
  <r>
    <n v="52371021"/>
    <n v="429"/>
    <n v="38432"/>
    <x v="55"/>
    <s v="CAROL BIBIANA BARRERA LOPEZ"/>
    <s v="NORMAL"/>
    <x v="5"/>
    <n v="41"/>
    <n v="4"/>
    <n v="11"/>
    <n v="3"/>
    <n v="4120000"/>
    <n v="15588102.07"/>
    <n v="32000000"/>
    <n v="73942500"/>
    <n v="0"/>
    <n v="1"/>
    <n v="0"/>
    <n v="0"/>
  </r>
  <r>
    <n v="65785486"/>
    <n v="213"/>
    <n v="9117"/>
    <x v="56"/>
    <s v="MARIAM YASMIN MURILLO RUBIO"/>
    <s v="NORMAL"/>
    <x v="2"/>
    <n v="89"/>
    <n v="6"/>
    <n v="12"/>
    <n v="0"/>
    <n v="5045000"/>
    <n v="63500000"/>
    <n v="105700000"/>
    <n v="47663000"/>
    <n v="0"/>
    <n v="4"/>
    <n v="9"/>
    <n v="7"/>
  </r>
  <r>
    <n v="1128430053"/>
    <n v="11"/>
    <n v="9770"/>
    <x v="37"/>
    <s v="LUISA MARIA SANTANA UPEGUI"/>
    <s v="NORMAL"/>
    <x v="0"/>
    <n v="14"/>
    <n v="1"/>
    <n v="0"/>
    <n v="0"/>
    <n v="0"/>
    <n v="0"/>
    <n v="0"/>
    <n v="11515350"/>
    <n v="0"/>
    <n v="2"/>
    <n v="2"/>
    <n v="5"/>
  </r>
  <r>
    <n v="37900818"/>
    <n v="132"/>
    <n v="35431"/>
    <x v="57"/>
    <s v="ALBA PATRICIA TRIANA"/>
    <s v="NORMAL"/>
    <x v="6"/>
    <n v="62"/>
    <n v="4"/>
    <n v="7"/>
    <n v="0"/>
    <n v="2030000"/>
    <n v="10000000"/>
    <n v="0"/>
    <n v="41673077"/>
    <n v="0"/>
    <n v="4"/>
    <n v="2"/>
    <n v="5"/>
  </r>
  <r>
    <n v="1014269744"/>
    <n v="12"/>
    <n v="36930"/>
    <x v="0"/>
    <s v="GARCIA VALENCIA KAREN ALEJANDRA"/>
    <s v="ADICIONAL"/>
    <x v="0"/>
    <n v="42"/>
    <n v="0"/>
    <n v="5"/>
    <n v="3"/>
    <n v="1660000"/>
    <n v="31000000"/>
    <n v="0"/>
    <n v="19252000"/>
    <n v="0"/>
    <n v="0"/>
    <n v="1"/>
    <n v="2"/>
  </r>
  <r>
    <n v="1067877021"/>
    <n v="530"/>
    <n v="37317"/>
    <x v="58"/>
    <s v="BEATRIZ HERNANDEZ CIRO"/>
    <s v="NORMAL"/>
    <x v="7"/>
    <n v="65"/>
    <n v="0"/>
    <n v="1"/>
    <n v="2"/>
    <n v="1045000"/>
    <n v="16000000"/>
    <n v="0"/>
    <n v="31179826"/>
    <n v="0"/>
    <n v="2"/>
    <n v="2"/>
    <n v="6"/>
  </r>
  <r>
    <n v="1031123630"/>
    <n v="79"/>
    <n v="8957"/>
    <x v="59"/>
    <s v="GINA MARCELA HERNANDEZ CALLEJAS"/>
    <s v="NORMAL"/>
    <x v="3"/>
    <n v="43"/>
    <n v="1"/>
    <n v="6"/>
    <n v="3"/>
    <n v="4550000"/>
    <n v="81000000"/>
    <n v="30200000"/>
    <n v="22396000"/>
    <n v="0"/>
    <n v="1"/>
    <n v="3"/>
    <n v="2"/>
  </r>
  <r>
    <n v="1032445748"/>
    <n v="634"/>
    <n v="38104"/>
    <x v="60"/>
    <s v="LADY XIOMARA PARRAGA PATIÐO"/>
    <s v="ADICIONAL"/>
    <x v="5"/>
    <n v="67"/>
    <n v="3"/>
    <n v="8"/>
    <n v="1"/>
    <n v="1230000"/>
    <n v="21230000"/>
    <n v="0"/>
    <n v="14400000"/>
    <n v="0"/>
    <n v="6"/>
    <n v="4"/>
    <n v="0"/>
  </r>
  <r>
    <n v="1017155100"/>
    <n v="171"/>
    <n v="9896"/>
    <x v="18"/>
    <s v="ALEJANDRA BETANCOURT"/>
    <s v="NORMAL"/>
    <x v="7"/>
    <n v="62"/>
    <n v="3"/>
    <n v="7"/>
    <n v="2"/>
    <n v="5023816.75"/>
    <n v="21000000"/>
    <n v="0"/>
    <n v="45722716"/>
    <n v="0"/>
    <n v="8"/>
    <n v="11"/>
    <n v="12"/>
  </r>
  <r>
    <n v="1036628798"/>
    <n v="276"/>
    <n v="31679"/>
    <x v="29"/>
    <s v="ANDRES PEREZ ARBOLEDA"/>
    <s v="NORMAL"/>
    <x v="7"/>
    <n v="49"/>
    <n v="0"/>
    <n v="13"/>
    <n v="8"/>
    <n v="11070000"/>
    <n v="123600000"/>
    <n v="59000000"/>
    <n v="139782000"/>
    <n v="0"/>
    <n v="11"/>
    <n v="10"/>
    <n v="12"/>
  </r>
  <r>
    <n v="1015413125"/>
    <n v="629"/>
    <n v="31822"/>
    <x v="35"/>
    <s v="KATHERINE ANZOLA"/>
    <s v="NORMAL"/>
    <x v="5"/>
    <n v="66"/>
    <n v="0"/>
    <n v="6"/>
    <n v="3"/>
    <n v="7995000"/>
    <n v="160952213.5"/>
    <n v="13000000"/>
    <n v="69704250"/>
    <n v="0"/>
    <n v="6"/>
    <n v="4"/>
    <n v="4"/>
  </r>
  <r>
    <n v="1070010862"/>
    <n v="25"/>
    <n v="9316"/>
    <x v="53"/>
    <s v="DANIEL SANTIAGO PRIETO"/>
    <s v="ADICIONAL"/>
    <x v="5"/>
    <n v="58"/>
    <n v="3"/>
    <n v="9"/>
    <n v="5"/>
    <n v="4735000"/>
    <n v="51000000"/>
    <n v="120000000"/>
    <n v="66070600"/>
    <n v="0"/>
    <n v="1"/>
    <n v="0"/>
    <n v="0"/>
  </r>
  <r>
    <n v="1020452848"/>
    <n v="175"/>
    <n v="8798"/>
    <x v="61"/>
    <s v="SANTIAGO URAN"/>
    <s v="NORMAL"/>
    <x v="7"/>
    <n v="31"/>
    <n v="3"/>
    <n v="10"/>
    <n v="3"/>
    <n v="8688477"/>
    <n v="200000000"/>
    <n v="0"/>
    <n v="94461470"/>
    <n v="0"/>
    <n v="11"/>
    <n v="11"/>
    <n v="14"/>
  </r>
  <r>
    <n v="1036641572"/>
    <n v="174"/>
    <n v="34499"/>
    <x v="62"/>
    <s v="ESTEFANIA HERRERA"/>
    <s v="NORMAL"/>
    <x v="7"/>
    <n v="35"/>
    <n v="1"/>
    <n v="1"/>
    <n v="1"/>
    <n v="3690000"/>
    <n v="40000000"/>
    <n v="24000000"/>
    <n v="47380535"/>
    <n v="0"/>
    <n v="3"/>
    <n v="9"/>
    <n v="11"/>
  </r>
  <r>
    <n v="51918311"/>
    <n v="16"/>
    <n v="8158"/>
    <x v="10"/>
    <s v="SARMIENTO CRUZ  DIANA DABEIBA"/>
    <s v="NORMAL"/>
    <x v="3"/>
    <n v="53"/>
    <n v="2"/>
    <n v="17"/>
    <n v="2"/>
    <n v="7380000"/>
    <n v="27800000"/>
    <n v="59100000"/>
    <n v="111889630"/>
    <n v="0"/>
    <n v="1"/>
    <n v="10"/>
    <n v="1"/>
  </r>
  <r>
    <n v="87061139"/>
    <n v="163"/>
    <n v="37680"/>
    <x v="63"/>
    <s v="CARLOS DELGADO"/>
    <s v="NORMAL"/>
    <x v="8"/>
    <n v="34"/>
    <n v="1"/>
    <n v="12"/>
    <n v="0"/>
    <n v="1540000"/>
    <n v="0"/>
    <n v="0"/>
    <n v="46166000"/>
    <n v="0"/>
    <n v="1"/>
    <n v="3"/>
    <n v="13"/>
  </r>
  <r>
    <n v="1110456272"/>
    <n v="213"/>
    <n v="9043"/>
    <x v="56"/>
    <s v="DIEGO ALEJANDRO CASTRO"/>
    <s v="NORMAL"/>
    <x v="2"/>
    <n v="85"/>
    <n v="3"/>
    <n v="10"/>
    <n v="10"/>
    <n v="3461346.75"/>
    <n v="67150000"/>
    <n v="32299999.999999996"/>
    <n v="21749000"/>
    <n v="0"/>
    <n v="3"/>
    <n v="14"/>
    <n v="6"/>
  </r>
  <r>
    <n v="52794583"/>
    <n v="22"/>
    <n v="9147"/>
    <x v="13"/>
    <s v="KEITY MARIA PULIDO POLO"/>
    <s v="NORMAL"/>
    <x v="3"/>
    <n v="49"/>
    <n v="8"/>
    <n v="12"/>
    <n v="0"/>
    <n v="5350000"/>
    <n v="50000000"/>
    <n v="0"/>
    <n v="77588404"/>
    <n v="0"/>
    <n v="3"/>
    <n v="12"/>
    <n v="9"/>
  </r>
  <r>
    <n v="1032382633"/>
    <n v="460"/>
    <n v="8777"/>
    <x v="64"/>
    <s v="JULIE PAOLA OLARTE VALBUENA"/>
    <s v="NORMAL"/>
    <x v="0"/>
    <n v="84"/>
    <n v="8"/>
    <n v="11"/>
    <n v="4"/>
    <n v="8610000"/>
    <n v="79430000"/>
    <n v="17903553.119999997"/>
    <n v="49676000"/>
    <n v="0"/>
    <n v="0"/>
    <n v="5"/>
    <n v="2"/>
  </r>
  <r>
    <n v="1110534685"/>
    <n v="211"/>
    <n v="9376"/>
    <x v="65"/>
    <s v="JULIETH TATIANA URUEÐA MARTINEZ"/>
    <s v="NORMAL"/>
    <x v="2"/>
    <n v="52"/>
    <n v="4"/>
    <n v="6"/>
    <n v="8"/>
    <n v="4837500"/>
    <n v="89200000"/>
    <n v="5484564.1000000015"/>
    <n v="13481000"/>
    <n v="0"/>
    <n v="3"/>
    <n v="5"/>
    <n v="7"/>
  </r>
  <r>
    <n v="52985881"/>
    <n v="90"/>
    <n v="32078"/>
    <x v="66"/>
    <s v="ADRIANA RODRIGUEZ"/>
    <s v="NORMAL"/>
    <x v="3"/>
    <n v="84"/>
    <n v="1"/>
    <n v="11"/>
    <n v="2"/>
    <n v="1702500"/>
    <n v="26500000"/>
    <n v="0"/>
    <n v="22621625"/>
    <n v="0"/>
    <n v="0"/>
    <n v="7"/>
    <n v="4"/>
  </r>
  <r>
    <n v="43982807"/>
    <n v="173"/>
    <n v="9517"/>
    <x v="67"/>
    <s v="SOR LILIA LOPEZ"/>
    <s v="NORMAL"/>
    <x v="7"/>
    <n v="48"/>
    <n v="2"/>
    <n v="3"/>
    <n v="11"/>
    <n v="10760015.833333334"/>
    <n v="91000000"/>
    <n v="0"/>
    <n v="106480790"/>
    <n v="0"/>
    <n v="5"/>
    <n v="7"/>
    <n v="9"/>
  </r>
  <r>
    <n v="1032441726"/>
    <n v="48"/>
    <n v="9684"/>
    <x v="68"/>
    <s v="TATIANA PAOLA GIRALDO FEO"/>
    <s v="NORMAL"/>
    <x v="3"/>
    <n v="103"/>
    <n v="7"/>
    <n v="13"/>
    <n v="2"/>
    <n v="3200000"/>
    <n v="51600000"/>
    <n v="60000000"/>
    <n v="16656763"/>
    <n v="0"/>
    <n v="4"/>
    <n v="9"/>
    <n v="11"/>
  </r>
  <r>
    <n v="36379017"/>
    <n v="4"/>
    <n v="8078"/>
    <x v="45"/>
    <s v="OLGA SOFIA CABRERA"/>
    <s v="NORMAL"/>
    <x v="0"/>
    <n v="54"/>
    <n v="1"/>
    <n v="7"/>
    <n v="2"/>
    <n v="1660000"/>
    <n v="76200000"/>
    <n v="15000000"/>
    <n v="53844000"/>
    <n v="0"/>
    <n v="6"/>
    <n v="7"/>
    <n v="4"/>
  </r>
  <r>
    <n v="1032476920"/>
    <n v="20"/>
    <n v="9866"/>
    <x v="69"/>
    <s v="MATEO BARAJAS"/>
    <s v="NORMAL"/>
    <x v="3"/>
    <n v="156"/>
    <n v="2"/>
    <n v="8"/>
    <n v="0"/>
    <n v="5105000"/>
    <n v="31700000"/>
    <n v="21000000"/>
    <n v="78594722"/>
    <n v="0"/>
    <n v="0"/>
    <n v="2"/>
    <n v="4"/>
  </r>
  <r>
    <n v="80912936"/>
    <n v="25"/>
    <n v="8646"/>
    <x v="53"/>
    <s v="VICTOR GALINDO"/>
    <s v="NORMAL"/>
    <x v="5"/>
    <n v="100"/>
    <n v="8"/>
    <n v="7"/>
    <n v="3"/>
    <n v="6591666.666666667"/>
    <n v="44100000"/>
    <n v="76293182.719999999"/>
    <n v="140300000"/>
    <n v="0"/>
    <n v="1"/>
    <n v="2"/>
    <n v="2"/>
  </r>
  <r>
    <n v="1022968395"/>
    <n v="688"/>
    <n v="38065"/>
    <x v="70"/>
    <s v="JEIMMYá ZULAY FORERO CEPEDA"/>
    <s v="NORMAL"/>
    <x v="1"/>
    <n v="77"/>
    <n v="1"/>
    <n v="2"/>
    <n v="1"/>
    <n v="10025000"/>
    <n v="60696800"/>
    <n v="44000000"/>
    <n v="13290000"/>
    <n v="0"/>
    <n v="3"/>
    <n v="5"/>
    <n v="3"/>
  </r>
  <r>
    <n v="59831498"/>
    <n v="794"/>
    <n v="8257"/>
    <x v="71"/>
    <s v="MELBA MONTENEGRO"/>
    <s v="NORMAL"/>
    <x v="8"/>
    <n v="84"/>
    <n v="9"/>
    <n v="5"/>
    <n v="5"/>
    <n v="11810000"/>
    <n v="169806317.50999999"/>
    <n v="0"/>
    <n v="67604000"/>
    <n v="0"/>
    <n v="6"/>
    <n v="17"/>
    <n v="10"/>
  </r>
  <r>
    <n v="59829540"/>
    <n v="161"/>
    <n v="8407"/>
    <x v="72"/>
    <s v="ANNY SINISTERRA"/>
    <s v="NORMAL"/>
    <x v="8"/>
    <n v="57"/>
    <n v="7"/>
    <n v="14"/>
    <n v="4"/>
    <n v="7992056.75"/>
    <n v="76408401.689999998"/>
    <n v="13000000"/>
    <n v="124803837"/>
    <n v="0"/>
    <n v="4"/>
    <n v="9"/>
    <n v="10"/>
  </r>
  <r>
    <n v="1014212838"/>
    <n v="792"/>
    <n v="20889"/>
    <x v="20"/>
    <s v="CARLOS MARIO CASTILLO TIQUE"/>
    <s v="NORMAL"/>
    <x v="0"/>
    <n v="72"/>
    <n v="2"/>
    <n v="20"/>
    <n v="2"/>
    <n v="10455000"/>
    <n v="100000000"/>
    <n v="0"/>
    <n v="140440191"/>
    <n v="0"/>
    <n v="1"/>
    <n v="8"/>
    <n v="6"/>
  </r>
  <r>
    <n v="1060651544"/>
    <n v="971"/>
    <n v="38314"/>
    <x v="73"/>
    <s v="LEIDY JOHANA GONZALEZ FLOREZ"/>
    <s v="NORMAL"/>
    <x v="2"/>
    <n v="55"/>
    <n v="3"/>
    <n v="7"/>
    <n v="7"/>
    <n v="8425000"/>
    <n v="95500000"/>
    <n v="0"/>
    <n v="46080574"/>
    <n v="0"/>
    <n v="8"/>
    <n v="8"/>
    <n v="10"/>
  </r>
  <r>
    <n v="16937738"/>
    <n v="595"/>
    <n v="9975"/>
    <x v="74"/>
    <s v="LEONEL MONTOYA"/>
    <s v="NORMAL"/>
    <x v="8"/>
    <n v="59"/>
    <n v="8"/>
    <n v="13"/>
    <n v="1"/>
    <n v="8457000"/>
    <n v="99000000"/>
    <n v="20000000"/>
    <n v="98355341"/>
    <n v="0"/>
    <n v="7"/>
    <n v="7"/>
    <n v="19"/>
  </r>
  <r>
    <n v="1019119838"/>
    <n v="27"/>
    <n v="36387"/>
    <x v="75"/>
    <s v="RAFAEL EDUARDO BEDOYA"/>
    <s v="NORMAL"/>
    <x v="5"/>
    <n v="144"/>
    <n v="9"/>
    <n v="4"/>
    <n v="4"/>
    <n v="2747500"/>
    <n v="47200000"/>
    <n v="0"/>
    <n v="55814280"/>
    <n v="0"/>
    <n v="3"/>
    <n v="7"/>
    <n v="3"/>
  </r>
  <r>
    <n v="1013584201"/>
    <n v="47"/>
    <n v="37133"/>
    <x v="76"/>
    <s v="PENA REINOSO, LAURA CATALINA"/>
    <s v="NORMAL"/>
    <x v="3"/>
    <n v="27"/>
    <n v="3"/>
    <n v="12"/>
    <n v="4"/>
    <n v="5105000"/>
    <n v="81000000"/>
    <n v="9087330.6500000004"/>
    <n v="93989986"/>
    <n v="0"/>
    <n v="3"/>
    <n v="8"/>
    <n v="6"/>
  </r>
  <r>
    <n v="36312342"/>
    <n v="216"/>
    <n v="9206"/>
    <x v="77"/>
    <s v="ADRIANA CRISTINA GAITAN DIAZ"/>
    <s v="NORMAL"/>
    <x v="2"/>
    <n v="78"/>
    <n v="5"/>
    <n v="13"/>
    <n v="1"/>
    <n v="6825000"/>
    <n v="96651838.870000005"/>
    <n v="0"/>
    <n v="124198600"/>
    <n v="0"/>
    <n v="3"/>
    <n v="3"/>
    <n v="5"/>
  </r>
  <r>
    <n v="1015445334"/>
    <n v="73"/>
    <n v="9979"/>
    <x v="1"/>
    <s v="YALIT MARCELA CORREDOR ALFONSO"/>
    <s v="ADICIONAL"/>
    <x v="1"/>
    <n v="67"/>
    <n v="3"/>
    <n v="1"/>
    <n v="2"/>
    <n v="1230000"/>
    <n v="27000000"/>
    <n v="0"/>
    <n v="43360706"/>
    <n v="0"/>
    <n v="0"/>
    <n v="5"/>
    <n v="1"/>
  </r>
  <r>
    <n v="52316019"/>
    <n v="75"/>
    <n v="8225"/>
    <x v="78"/>
    <s v="CAROLINA PEREZ"/>
    <s v="NORMAL"/>
    <x v="1"/>
    <n v="74"/>
    <n v="5"/>
    <n v="6"/>
    <n v="2"/>
    <n v="448024.16666666674"/>
    <n v="95778491"/>
    <n v="0"/>
    <n v="30917745"/>
    <n v="0"/>
    <n v="4"/>
    <n v="14"/>
    <n v="17"/>
  </r>
  <r>
    <n v="1152186210"/>
    <n v="188"/>
    <n v="9942"/>
    <x v="79"/>
    <s v="LIZETH CRISTINA GUERRA"/>
    <s v="NORMAL"/>
    <x v="7"/>
    <n v="33"/>
    <n v="0"/>
    <n v="5"/>
    <n v="9"/>
    <n v="8325220.5"/>
    <n v="68900000"/>
    <n v="0"/>
    <n v="136723763"/>
    <n v="0"/>
    <n v="3"/>
    <n v="14"/>
    <n v="12"/>
  </r>
  <r>
    <n v="1016022263"/>
    <n v="59"/>
    <n v="9430"/>
    <x v="80"/>
    <s v="KAREN LASPRILLA"/>
    <s v="NORMAL"/>
    <x v="1"/>
    <n v="66"/>
    <n v="6"/>
    <n v="8"/>
    <n v="2"/>
    <n v="8897500"/>
    <n v="72000000"/>
    <n v="15000000"/>
    <n v="43562000"/>
    <n v="0"/>
    <n v="3"/>
    <n v="3"/>
    <n v="4"/>
  </r>
  <r>
    <n v="1090418259"/>
    <n v="135"/>
    <n v="38206"/>
    <x v="26"/>
    <s v="NATALIA XILENA MORANTES SAAVEDRA"/>
    <s v="NORMAL"/>
    <x v="6"/>
    <n v="53"/>
    <n v="3"/>
    <n v="5"/>
    <n v="2"/>
    <n v="8300000"/>
    <n v="110431659.09999999"/>
    <n v="0"/>
    <n v="26979885"/>
    <n v="0"/>
    <n v="3"/>
    <n v="11"/>
    <n v="14"/>
  </r>
  <r>
    <n v="1129533233"/>
    <n v="116"/>
    <n v="37901"/>
    <x v="81"/>
    <s v="WILLIAM ANDRES RIVERA RODRIGUEZ"/>
    <s v="NORMAL"/>
    <x v="4"/>
    <n v="66"/>
    <n v="1"/>
    <n v="7"/>
    <n v="1"/>
    <n v="4305000"/>
    <n v="36200000"/>
    <n v="0"/>
    <n v="12706823"/>
    <n v="0"/>
    <n v="0"/>
    <n v="2"/>
    <n v="15"/>
  </r>
  <r>
    <n v="1110455144"/>
    <n v="211"/>
    <n v="36151"/>
    <x v="65"/>
    <s v="JORGE ARMANDO SOTO MARIN"/>
    <s v="NORMAL"/>
    <x v="2"/>
    <n v="93"/>
    <n v="1"/>
    <n v="7"/>
    <n v="4"/>
    <n v="7320000"/>
    <n v="122910000"/>
    <n v="75000000"/>
    <n v="59614354"/>
    <n v="0"/>
    <n v="7"/>
    <n v="8"/>
    <n v="14"/>
  </r>
  <r>
    <n v="1095816078"/>
    <n v="104"/>
    <n v="8161"/>
    <x v="82"/>
    <s v="ELISENIA JUDITH HERNANDEZ SERRANO"/>
    <s v="NORMAL"/>
    <x v="4"/>
    <n v="91"/>
    <n v="2"/>
    <n v="10"/>
    <n v="0"/>
    <n v="1660000"/>
    <n v="11200000"/>
    <n v="0"/>
    <n v="20900000"/>
    <n v="0"/>
    <n v="1"/>
    <n v="11"/>
    <n v="10"/>
  </r>
  <r>
    <n v="1022373282"/>
    <n v="6"/>
    <n v="9617"/>
    <x v="31"/>
    <s v="ANTONIO  QUIROGA FORERO"/>
    <s v="NORMAL"/>
    <x v="0"/>
    <n v="68"/>
    <n v="2"/>
    <n v="13"/>
    <n v="2"/>
    <n v="4860000"/>
    <n v="22300000"/>
    <n v="35523510.210000001"/>
    <n v="59573100"/>
    <n v="0"/>
    <n v="2"/>
    <n v="8"/>
    <n v="5"/>
  </r>
  <r>
    <n v="91529653"/>
    <n v="131"/>
    <n v="38028"/>
    <x v="17"/>
    <s v="ELYER FABIAN MUÐOZ"/>
    <s v="NORMAL"/>
    <x v="6"/>
    <n v="67"/>
    <n v="4"/>
    <n v="8"/>
    <n v="2"/>
    <n v="4561250"/>
    <n v="27537636.170000002"/>
    <n v="14679994.050000001"/>
    <n v="71195801"/>
    <n v="0"/>
    <n v="2"/>
    <n v="14"/>
    <n v="6"/>
  </r>
  <r>
    <n v="37393718"/>
    <n v="135"/>
    <n v="8967"/>
    <x v="26"/>
    <s v="SANDRA JAIMES TORRADO"/>
    <s v="NORMAL"/>
    <x v="6"/>
    <n v="77"/>
    <n v="6"/>
    <n v="11"/>
    <n v="2"/>
    <n v="7625000"/>
    <n v="111650000"/>
    <n v="0"/>
    <n v="123647891"/>
    <n v="0"/>
    <n v="7"/>
    <n v="19"/>
    <n v="21"/>
  </r>
  <r>
    <n v="1022337954"/>
    <n v="43"/>
    <n v="36400"/>
    <x v="39"/>
    <s v="NELSON MAURICIO LOPEZ VILLALBA"/>
    <s v="NORMAL"/>
    <x v="0"/>
    <n v="89"/>
    <n v="0"/>
    <n v="10"/>
    <n v="1"/>
    <n v="607661.66666666674"/>
    <n v="80000000"/>
    <n v="16549697.899999999"/>
    <n v="62572716"/>
    <n v="0"/>
    <n v="3"/>
    <n v="37"/>
    <n v="16"/>
  </r>
  <r>
    <n v="80058437"/>
    <n v="48"/>
    <n v="8620"/>
    <x v="68"/>
    <s v="MIGUEL RODRIGO CORREDOR BERNAL"/>
    <s v="NORMAL"/>
    <x v="3"/>
    <n v="47"/>
    <n v="8"/>
    <n v="6"/>
    <n v="0"/>
    <n v="1087500"/>
    <n v="23000000"/>
    <n v="0"/>
    <n v="49215700"/>
    <n v="0"/>
    <n v="0"/>
    <n v="8"/>
    <n v="3"/>
  </r>
  <r>
    <n v="1053333894"/>
    <n v="468"/>
    <n v="8903"/>
    <x v="19"/>
    <s v="MARIA AZUCENA LOPEZ BRAVO"/>
    <s v="NORMAL"/>
    <x v="1"/>
    <n v="68"/>
    <n v="3"/>
    <n v="8"/>
    <n v="4"/>
    <n v="5290000"/>
    <n v="67400000"/>
    <n v="5044555.93"/>
    <n v="50773200"/>
    <n v="0"/>
    <n v="2"/>
    <n v="7"/>
    <n v="3"/>
  </r>
  <r>
    <n v="52395260"/>
    <n v="797"/>
    <n v="8039"/>
    <x v="83"/>
    <s v="EDITH CHIQUILLO"/>
    <s v="NORMAL"/>
    <x v="5"/>
    <n v="36"/>
    <n v="4"/>
    <n v="12"/>
    <n v="6"/>
    <n v="1873857.5"/>
    <n v="11200000"/>
    <n v="0"/>
    <n v="45578000"/>
    <n v="0"/>
    <n v="1"/>
    <n v="3"/>
    <n v="0"/>
  </r>
  <r>
    <n v="1076383411"/>
    <n v="219"/>
    <n v="37013"/>
    <x v="84"/>
    <s v="LILIANA PAOLA PALACIOS MOSQUERA"/>
    <s v="NORMAL"/>
    <x v="2"/>
    <n v="81"/>
    <n v="5"/>
    <n v="10"/>
    <n v="10"/>
    <n v="1600000"/>
    <n v="22000000"/>
    <n v="0"/>
    <n v="53846700"/>
    <n v="0"/>
    <n v="5"/>
    <n v="11"/>
    <n v="7"/>
  </r>
  <r>
    <n v="59828397"/>
    <n v="163"/>
    <n v="8255"/>
    <x v="63"/>
    <s v="ALEJANDRA LARRAHONDO"/>
    <s v="NORMAL"/>
    <x v="8"/>
    <n v="27"/>
    <n v="7"/>
    <n v="14"/>
    <n v="1"/>
    <n v="2926000"/>
    <n v="45000000"/>
    <n v="0"/>
    <n v="30431000"/>
    <n v="0"/>
    <n v="2"/>
    <n v="6"/>
    <n v="13"/>
  </r>
  <r>
    <n v="1128470692"/>
    <n v="185"/>
    <n v="9894"/>
    <x v="85"/>
    <s v="LINA ALVAREZ LOPEZ"/>
    <s v="NORMAL"/>
    <x v="7"/>
    <n v="69"/>
    <n v="2"/>
    <n v="6"/>
    <n v="0"/>
    <n v="8193386.833333333"/>
    <n v="103000000"/>
    <n v="0"/>
    <n v="131779550"/>
    <n v="0"/>
    <n v="4"/>
    <n v="11"/>
    <n v="5"/>
  </r>
  <r>
    <n v="1124017849"/>
    <n v="698"/>
    <n v="9860"/>
    <x v="86"/>
    <s v="LILIANA SUGEY ESTRADA AVILA"/>
    <s v="NORMAL"/>
    <x v="4"/>
    <n v="28"/>
    <n v="1"/>
    <n v="5"/>
    <n v="0"/>
    <n v="0"/>
    <n v="0"/>
    <n v="0"/>
    <n v="0"/>
    <n v="0"/>
    <n v="0"/>
    <n v="4"/>
    <n v="9"/>
  </r>
  <r>
    <n v="1037577914"/>
    <n v="176"/>
    <n v="36815"/>
    <x v="87"/>
    <s v="DIEGO BUSTAMANTE"/>
    <s v="NORMAL"/>
    <x v="7"/>
    <n v="73"/>
    <n v="2"/>
    <n v="6"/>
    <n v="7"/>
    <n v="4389874.166666667"/>
    <n v="125500000"/>
    <n v="15000000"/>
    <n v="102800474"/>
    <n v="0"/>
    <n v="7"/>
    <n v="7"/>
    <n v="7"/>
  </r>
  <r>
    <n v="22448668"/>
    <n v="109"/>
    <n v="8301"/>
    <x v="88"/>
    <s v="ROSA LINDA DONADO"/>
    <s v="NORMAL"/>
    <x v="4"/>
    <n v="14"/>
    <n v="0"/>
    <n v="2"/>
    <n v="1"/>
    <n v="40000"/>
    <n v="0"/>
    <n v="0"/>
    <n v="4761124"/>
    <n v="0"/>
    <n v="0"/>
    <n v="4"/>
    <n v="1"/>
  </r>
  <r>
    <n v="1024502023"/>
    <n v="688"/>
    <n v="36843"/>
    <x v="70"/>
    <s v="JOSE LEONARDO SANTOS ALVARADO"/>
    <s v="NORMAL"/>
    <x v="1"/>
    <n v="67"/>
    <n v="1"/>
    <n v="4"/>
    <n v="0"/>
    <n v="0"/>
    <n v="5000000"/>
    <n v="0"/>
    <n v="31968290"/>
    <n v="0"/>
    <n v="0"/>
    <n v="1"/>
    <n v="0"/>
  </r>
  <r>
    <n v="1023871661"/>
    <n v="27"/>
    <n v="37984"/>
    <x v="75"/>
    <s v="SANDRA PATRICIA MONTENEGRO CUBIDES"/>
    <s v="NORMAL"/>
    <x v="5"/>
    <n v="34"/>
    <n v="5"/>
    <n v="8"/>
    <n v="3"/>
    <n v="185000"/>
    <n v="68100000"/>
    <n v="120000000"/>
    <n v="27530509"/>
    <n v="0"/>
    <n v="0"/>
    <n v="1"/>
    <n v="2"/>
  </r>
  <r>
    <n v="1140824117"/>
    <n v="102"/>
    <n v="36138"/>
    <x v="6"/>
    <s v="DAYANA PAJARO TORRES"/>
    <s v="NORMAL"/>
    <x v="4"/>
    <n v="52"/>
    <n v="1"/>
    <n v="12"/>
    <n v="0"/>
    <n v="6335000"/>
    <n v="53700000"/>
    <n v="0"/>
    <n v="0"/>
    <n v="0"/>
    <n v="2"/>
    <n v="11"/>
    <n v="12"/>
  </r>
  <r>
    <n v="1030666605"/>
    <n v="14"/>
    <n v="9901"/>
    <x v="89"/>
    <s v="SANDY MILENA QUEVEDO BERMUDEZ"/>
    <s v="NORMAL"/>
    <x v="3"/>
    <n v="100"/>
    <n v="2"/>
    <n v="7"/>
    <n v="1"/>
    <n v="6090000"/>
    <n v="78000000"/>
    <n v="0"/>
    <n v="63723100"/>
    <n v="0"/>
    <n v="3"/>
    <n v="7"/>
    <n v="6"/>
  </r>
  <r>
    <n v="1140868919"/>
    <n v="935"/>
    <n v="38759"/>
    <x v="90"/>
    <s v="GUSTAVO GONZALEZ RODRIGUEZ"/>
    <s v="NORMAL"/>
    <x v="4"/>
    <n v="69"/>
    <n v="1"/>
    <n v="9"/>
    <n v="1"/>
    <n v="5220000"/>
    <n v="136000000"/>
    <n v="0"/>
    <n v="45430107"/>
    <n v="0"/>
    <n v="1"/>
    <n v="12"/>
    <n v="7"/>
  </r>
  <r>
    <n v="51835123"/>
    <n v="9"/>
    <n v="8111"/>
    <x v="91"/>
    <s v="MARITZA CASTILLO"/>
    <s v="NORMAL"/>
    <x v="0"/>
    <n v="27"/>
    <n v="0"/>
    <n v="4"/>
    <n v="7"/>
    <n v="615000"/>
    <n v="-22900000"/>
    <n v="0"/>
    <n v="58534969"/>
    <n v="0"/>
    <n v="0"/>
    <n v="1"/>
    <n v="2"/>
  </r>
  <r>
    <n v="1081813294"/>
    <n v="717"/>
    <n v="36530"/>
    <x v="92"/>
    <s v="JULIETH ALEJANDRA PEÐA ORTEGA"/>
    <s v="NORMAL"/>
    <x v="4"/>
    <n v="79"/>
    <n v="2"/>
    <n v="17"/>
    <n v="2"/>
    <n v="9410000"/>
    <n v="217410000"/>
    <n v="0"/>
    <n v="102847317"/>
    <n v="0"/>
    <n v="6"/>
    <n v="6"/>
    <n v="6"/>
  </r>
  <r>
    <n v="79685961"/>
    <n v="13"/>
    <n v="9233"/>
    <x v="16"/>
    <s v="OSCAR ORLANDO ORTIZ SANCHEZ"/>
    <s v="NORMAL"/>
    <x v="0"/>
    <n v="77"/>
    <n v="2"/>
    <n v="12"/>
    <n v="3"/>
    <n v="2368577.5"/>
    <n v="63500000"/>
    <n v="6439848.9900000002"/>
    <n v="93467467"/>
    <n v="0"/>
    <n v="1"/>
    <n v="6"/>
    <n v="14"/>
  </r>
  <r>
    <n v="1113648445"/>
    <n v="158"/>
    <n v="38815"/>
    <x v="93"/>
    <s v="MARIA ANGELICA ROLDAN"/>
    <s v="NORMAL"/>
    <x v="8"/>
    <n v="38"/>
    <n v="3"/>
    <n v="9"/>
    <n v="0"/>
    <n v="3690000"/>
    <n v="81600000"/>
    <n v="0"/>
    <n v="50215103"/>
    <n v="0"/>
    <n v="1"/>
    <n v="1"/>
    <n v="2"/>
  </r>
  <r>
    <n v="1017139629"/>
    <n v="432"/>
    <n v="31382"/>
    <x v="94"/>
    <s v="JENNIFER MARQUEZ"/>
    <s v="NORMAL"/>
    <x v="5"/>
    <n v="117"/>
    <n v="3"/>
    <n v="6"/>
    <n v="10"/>
    <n v="1345000"/>
    <n v="5000000"/>
    <n v="0"/>
    <n v="109441500"/>
    <n v="0"/>
    <n v="1"/>
    <n v="8"/>
    <n v="1"/>
  </r>
  <r>
    <n v="37321869"/>
    <n v="109"/>
    <n v="8308"/>
    <x v="88"/>
    <s v="CLAUDIA TRIGOS ALZATE"/>
    <s v="NORMAL"/>
    <x v="4"/>
    <n v="44"/>
    <n v="4"/>
    <n v="4"/>
    <n v="1"/>
    <n v="1288000"/>
    <n v="6000000"/>
    <n v="0"/>
    <n v="37359700"/>
    <n v="0"/>
    <n v="0"/>
    <n v="2"/>
    <n v="2"/>
  </r>
  <r>
    <n v="1152187419"/>
    <n v="789"/>
    <n v="36308"/>
    <x v="95"/>
    <s v="TATIANA VANESA ROJAS"/>
    <s v="NORMAL"/>
    <x v="7"/>
    <n v="44"/>
    <n v="2"/>
    <n v="9"/>
    <n v="4"/>
    <n v="8403000"/>
    <n v="41774253.600000001"/>
    <n v="10000000"/>
    <n v="112448000"/>
    <n v="0"/>
    <n v="3"/>
    <n v="6"/>
    <n v="4"/>
  </r>
  <r>
    <n v="1045666213"/>
    <n v="204"/>
    <n v="9606"/>
    <x v="21"/>
    <s v="JENIFER GARCIA ZULUAGA"/>
    <s v="NORMAL"/>
    <x v="2"/>
    <n v="26"/>
    <n v="4"/>
    <n v="2"/>
    <n v="6"/>
    <n v="1368500"/>
    <n v="42400000"/>
    <n v="0"/>
    <n v="54500000"/>
    <n v="0"/>
    <n v="2"/>
    <n v="0"/>
    <n v="2"/>
  </r>
  <r>
    <n v="51793150"/>
    <n v="958"/>
    <n v="8149"/>
    <x v="96"/>
    <s v="CABRERA SUAREZ FABIOLA"/>
    <s v="NORMAL"/>
    <x v="3"/>
    <n v="98"/>
    <n v="2"/>
    <n v="6"/>
    <n v="1"/>
    <n v="615000"/>
    <n v="48000000"/>
    <n v="127000000"/>
    <n v="0"/>
    <n v="0"/>
    <n v="0"/>
    <n v="2"/>
    <n v="1"/>
  </r>
  <r>
    <n v="1031171573"/>
    <n v="9"/>
    <n v="37095"/>
    <x v="91"/>
    <s v="GOMEZ SIERRA ANGIE GERALDINNE"/>
    <s v="NORMAL"/>
    <x v="0"/>
    <n v="46"/>
    <n v="0"/>
    <n v="9"/>
    <n v="2"/>
    <n v="2645000"/>
    <n v="81900000"/>
    <n v="15000000"/>
    <n v="32685000"/>
    <n v="0"/>
    <n v="1"/>
    <n v="9"/>
    <n v="0"/>
  </r>
  <r>
    <n v="1013581339"/>
    <n v="432"/>
    <n v="37596"/>
    <x v="94"/>
    <s v="JUAN CARLOS CASTELLANOS LOZANO"/>
    <s v="NORMAL"/>
    <x v="5"/>
    <n v="48"/>
    <n v="0"/>
    <n v="3"/>
    <n v="3"/>
    <n v="3075000"/>
    <n v="0"/>
    <n v="37000000"/>
    <n v="15026764"/>
    <n v="0"/>
    <n v="0"/>
    <n v="1"/>
    <n v="0"/>
  </r>
  <r>
    <n v="1012353112"/>
    <n v="51"/>
    <n v="38233"/>
    <x v="97"/>
    <s v="VIVIAN SOFIA CORREDOR LUCERO"/>
    <s v="ADICIONAL"/>
    <x v="0"/>
    <n v="45"/>
    <n v="2"/>
    <n v="5"/>
    <n v="0"/>
    <n v="-311471.75"/>
    <n v="6000000"/>
    <n v="0"/>
    <n v="49489000"/>
    <n v="0"/>
    <n v="0"/>
    <n v="4"/>
    <n v="1"/>
  </r>
  <r>
    <n v="1012389944"/>
    <n v="923"/>
    <n v="35993"/>
    <x v="98"/>
    <s v="JESSICA PAOLA RAMIREZ GOMEZ"/>
    <s v="ADICIONAL"/>
    <x v="1"/>
    <n v="94"/>
    <n v="5"/>
    <n v="10"/>
    <n v="0"/>
    <n v="1045000"/>
    <n v="60000000"/>
    <n v="0"/>
    <n v="15885758"/>
    <n v="0"/>
    <n v="0"/>
    <n v="4"/>
    <n v="3"/>
  </r>
  <r>
    <n v="43187286"/>
    <n v="188"/>
    <n v="9257"/>
    <x v="79"/>
    <s v="ANGELA CAÐAVERAL"/>
    <s v="NORMAL"/>
    <x v="7"/>
    <n v="36"/>
    <n v="1"/>
    <n v="2"/>
    <n v="2"/>
    <n v="5577500"/>
    <n v="89100000"/>
    <n v="0"/>
    <n v="70466751"/>
    <n v="0"/>
    <n v="3"/>
    <n v="8"/>
    <n v="4"/>
  </r>
  <r>
    <n v="1018495960"/>
    <n v="64"/>
    <n v="37244"/>
    <x v="99"/>
    <s v="NEIDER YESID BALLESTEROS"/>
    <s v="ADICIONAL"/>
    <x v="1"/>
    <n v="82"/>
    <n v="5"/>
    <n v="13"/>
    <n v="4"/>
    <n v="5327820"/>
    <n v="63207638"/>
    <n v="23000000"/>
    <n v="39322200"/>
    <n v="0"/>
    <n v="2"/>
    <n v="6"/>
    <n v="7"/>
  </r>
  <r>
    <n v="32743416"/>
    <n v="893"/>
    <n v="8311"/>
    <x v="100"/>
    <s v="JASMIN PANTOJA"/>
    <s v="NORMAL"/>
    <x v="4"/>
    <n v="67"/>
    <n v="6"/>
    <n v="11"/>
    <n v="4"/>
    <n v="6950000"/>
    <n v="134400000"/>
    <n v="0"/>
    <n v="12058000"/>
    <n v="0"/>
    <n v="5"/>
    <n v="7"/>
    <n v="7"/>
  </r>
  <r>
    <n v="1030671677"/>
    <n v="12"/>
    <n v="37074"/>
    <x v="0"/>
    <s v="MARTINEZ BAMBAGUE, DIANA MARCELA"/>
    <s v="ADICIONAL"/>
    <x v="0"/>
    <n v="66"/>
    <n v="0"/>
    <n v="5"/>
    <n v="1"/>
    <n v="185000"/>
    <n v="0"/>
    <n v="0"/>
    <n v="9683400"/>
    <n v="0"/>
    <n v="0"/>
    <n v="0"/>
    <n v="0"/>
  </r>
  <r>
    <n v="1022361478"/>
    <n v="71"/>
    <n v="38062"/>
    <x v="101"/>
    <s v="JOSE LUIS ORTIZ ZOLAQUE"/>
    <s v="NORMAL"/>
    <x v="1"/>
    <n v="80"/>
    <n v="1"/>
    <n v="12"/>
    <n v="0"/>
    <n v="5965000"/>
    <n v="30000000"/>
    <n v="111500000"/>
    <n v="24044690"/>
    <n v="0"/>
    <n v="0"/>
    <n v="8"/>
    <n v="15"/>
  </r>
  <r>
    <n v="1121873295"/>
    <n v="94"/>
    <n v="9417"/>
    <x v="15"/>
    <s v="ANA MARIA GARCIA SOTO"/>
    <s v="NORMAL"/>
    <x v="6"/>
    <n v="80"/>
    <n v="2"/>
    <n v="6"/>
    <n v="1"/>
    <n v="7505000"/>
    <n v="126200000"/>
    <n v="0"/>
    <n v="71410000"/>
    <n v="0"/>
    <n v="4"/>
    <n v="2"/>
    <n v="9"/>
  </r>
  <r>
    <n v="38656544"/>
    <n v="595"/>
    <n v="37980"/>
    <x v="74"/>
    <s v="SONIA GOMEZ"/>
    <s v="NORMAL"/>
    <x v="8"/>
    <n v="58"/>
    <n v="1"/>
    <n v="5"/>
    <n v="0"/>
    <n v="10025000"/>
    <n v="115000000"/>
    <n v="0"/>
    <n v="96243338"/>
    <n v="0"/>
    <n v="3"/>
    <n v="4"/>
    <n v="6"/>
  </r>
  <r>
    <n v="53053512"/>
    <n v="64"/>
    <n v="30905"/>
    <x v="99"/>
    <s v="LANCHEROS SUAREZ, PAOLA ANDREA"/>
    <s v="NORMAL"/>
    <x v="1"/>
    <n v="0"/>
    <n v="0"/>
    <n v="0"/>
    <n v="0"/>
    <n v="0"/>
    <n v="-9300000"/>
    <n v="0"/>
    <n v="1883550"/>
    <n v="0"/>
    <n v="0"/>
    <n v="1"/>
    <n v="0"/>
  </r>
  <r>
    <n v="1031165003"/>
    <n v="58"/>
    <n v="36407"/>
    <x v="102"/>
    <s v="JENNIFER GARAVITO"/>
    <s v="NORMAL"/>
    <x v="3"/>
    <n v="51"/>
    <n v="3"/>
    <n v="5"/>
    <n v="4"/>
    <n v="985524"/>
    <n v="9200000"/>
    <n v="0"/>
    <n v="54585278"/>
    <n v="0"/>
    <n v="0"/>
    <n v="2"/>
    <n v="1"/>
  </r>
  <r>
    <n v="32728324"/>
    <n v="714"/>
    <n v="8307"/>
    <x v="103"/>
    <s v="BELKIS AREVALO"/>
    <s v="NORMAL"/>
    <x v="4"/>
    <n v="218"/>
    <n v="0"/>
    <n v="12"/>
    <n v="1"/>
    <n v="3260000"/>
    <n v="47600000"/>
    <n v="0"/>
    <n v="19962000"/>
    <n v="0"/>
    <n v="4"/>
    <n v="11"/>
    <n v="6"/>
  </r>
  <r>
    <n v="1019078302"/>
    <n v="24"/>
    <n v="38238"/>
    <x v="104"/>
    <s v="DIEGO FERNANDO BOCANEGRA MOLINA"/>
    <s v="NORMAL"/>
    <x v="5"/>
    <n v="42"/>
    <n v="3"/>
    <n v="11"/>
    <n v="5"/>
    <n v="3690000"/>
    <n v="67500000"/>
    <n v="77000000"/>
    <n v="58063330"/>
    <n v="0"/>
    <n v="0"/>
    <n v="0"/>
    <n v="0"/>
  </r>
  <r>
    <n v="1053814651"/>
    <n v="219"/>
    <n v="9290"/>
    <x v="84"/>
    <s v="NATALIA MURILLO"/>
    <s v="NORMAL"/>
    <x v="2"/>
    <n v="74"/>
    <n v="2"/>
    <n v="17"/>
    <n v="5"/>
    <n v="9655000"/>
    <n v="78542000"/>
    <n v="37100000"/>
    <n v="93418670"/>
    <n v="0"/>
    <n v="9"/>
    <n v="13"/>
    <n v="13"/>
  </r>
  <r>
    <n v="1000774106"/>
    <n v="66"/>
    <n v="36399"/>
    <x v="105"/>
    <s v="HURTADO SABOGAL, DAVID SEBASTIAN"/>
    <s v="NORMAL"/>
    <x v="1"/>
    <n v="77"/>
    <n v="5"/>
    <n v="8"/>
    <n v="2"/>
    <n v="7125888.666666667"/>
    <n v="82200000"/>
    <n v="0"/>
    <n v="51316423"/>
    <n v="0"/>
    <n v="6"/>
    <n v="18"/>
    <n v="5"/>
  </r>
  <r>
    <n v="1023012625"/>
    <n v="75"/>
    <n v="38066"/>
    <x v="78"/>
    <s v="ALISON MELO GARZON"/>
    <s v="NORMAL"/>
    <x v="1"/>
    <n v="82"/>
    <n v="5"/>
    <n v="6"/>
    <n v="1"/>
    <n v="683058.16666666651"/>
    <n v="43900000"/>
    <n v="18000000"/>
    <n v="51297520"/>
    <n v="0"/>
    <n v="5"/>
    <n v="4"/>
    <n v="8"/>
  </r>
  <r>
    <n v="1030538055"/>
    <n v="468"/>
    <n v="38064"/>
    <x v="19"/>
    <s v="TATIANA ORDOÐEZ SERRATO"/>
    <s v="NORMAL"/>
    <x v="1"/>
    <n v="27"/>
    <n v="1"/>
    <n v="3"/>
    <n v="1"/>
    <n v="1584892.6666666667"/>
    <n v="2700000"/>
    <n v="0"/>
    <n v="4449283"/>
    <n v="0"/>
    <n v="0"/>
    <n v="3"/>
    <n v="0"/>
  </r>
  <r>
    <n v="52919443"/>
    <n v="811"/>
    <n v="9571"/>
    <x v="106"/>
    <s v="ASTRID JOHANA MARTINEZ"/>
    <s v="NORMAL"/>
    <x v="0"/>
    <n v="29"/>
    <n v="2"/>
    <n v="12"/>
    <n v="3"/>
    <n v="205000"/>
    <n v="75000000"/>
    <n v="21000000"/>
    <n v="45659742"/>
    <n v="0"/>
    <n v="1"/>
    <n v="12"/>
    <n v="3"/>
  </r>
  <r>
    <n v="1072654011"/>
    <n v="797"/>
    <n v="38431"/>
    <x v="83"/>
    <s v="JUAN DIEGO ROBLES CORTES"/>
    <s v="NORMAL"/>
    <x v="5"/>
    <n v="49"/>
    <n v="4"/>
    <n v="11"/>
    <n v="0"/>
    <n v="2460000"/>
    <n v="164000000"/>
    <n v="5000000"/>
    <n v="18197186"/>
    <n v="0"/>
    <n v="1"/>
    <n v="1"/>
    <n v="0"/>
  </r>
  <r>
    <n v="1045737784"/>
    <n v="874"/>
    <n v="9185"/>
    <x v="107"/>
    <s v="MARIA FERNANDA CANTILLO MIER"/>
    <s v="NORMAL"/>
    <x v="4"/>
    <n v="79"/>
    <n v="3"/>
    <n v="6"/>
    <n v="0"/>
    <n v="1415000"/>
    <n v="15000000"/>
    <n v="0"/>
    <n v="25734000"/>
    <n v="0"/>
    <n v="2"/>
    <n v="2"/>
    <n v="2"/>
  </r>
  <r>
    <n v="1192736011"/>
    <n v="202"/>
    <n v="9971"/>
    <x v="108"/>
    <s v="JOSE FERNEY OSPINA"/>
    <s v="NORMAL"/>
    <x v="2"/>
    <n v="45"/>
    <n v="1"/>
    <n v="15"/>
    <n v="4"/>
    <n v="13748136"/>
    <n v="112400000"/>
    <n v="24000000"/>
    <n v="85443000"/>
    <n v="0"/>
    <n v="4"/>
    <n v="7"/>
    <n v="3"/>
  </r>
  <r>
    <n v="1049624001"/>
    <n v="695"/>
    <n v="37547"/>
    <x v="109"/>
    <s v="HECTOR HUGO HERNANDEZ PACHECO"/>
    <s v="NORMAL"/>
    <x v="6"/>
    <n v="43"/>
    <n v="1"/>
    <n v="1"/>
    <n v="4"/>
    <n v="10025000"/>
    <n v="93500000"/>
    <n v="0"/>
    <n v="49116891"/>
    <n v="0"/>
    <n v="3"/>
    <n v="3"/>
    <n v="3"/>
  </r>
  <r>
    <n v="1067855981"/>
    <n v="58"/>
    <n v="17539"/>
    <x v="102"/>
    <s v="LINA  ESTHER URANGO GALEANO"/>
    <s v="NORMAL"/>
    <x v="3"/>
    <n v="64"/>
    <n v="1"/>
    <n v="12"/>
    <n v="1"/>
    <n v="6410430.166666667"/>
    <n v="77100000"/>
    <n v="0"/>
    <n v="24938075"/>
    <n v="0"/>
    <n v="1"/>
    <n v="5"/>
    <n v="6"/>
  </r>
  <r>
    <n v="34325898"/>
    <n v="794"/>
    <n v="38859"/>
    <x v="71"/>
    <s v="NORMA ALEXANDRA CERON MERA"/>
    <s v="NORMAL"/>
    <x v="8"/>
    <n v="104"/>
    <n v="2"/>
    <n v="6"/>
    <n v="0"/>
    <n v="3445000"/>
    <n v="86750000"/>
    <n v="0"/>
    <n v="47410203"/>
    <n v="0"/>
    <n v="2"/>
    <n v="5"/>
    <n v="4"/>
  </r>
  <r>
    <n v="1110588149"/>
    <n v="211"/>
    <n v="36883"/>
    <x v="65"/>
    <s v="CRISTIAN FELIPE IBARGUEN SALAS"/>
    <s v="NORMAL"/>
    <x v="2"/>
    <n v="135"/>
    <n v="8"/>
    <n v="6"/>
    <n v="2"/>
    <n v="6598000"/>
    <n v="66200000"/>
    <n v="76300000"/>
    <n v="21071000"/>
    <n v="0"/>
    <n v="3"/>
    <n v="7"/>
    <n v="4"/>
  </r>
  <r>
    <n v="1022414613"/>
    <n v="280"/>
    <n v="38755"/>
    <x v="3"/>
    <s v="LUSA FERNANDA GUTIERREZ"/>
    <s v="ADICIONAL"/>
    <x v="3"/>
    <n v="36"/>
    <n v="2"/>
    <n v="0"/>
    <n v="1"/>
    <n v="0"/>
    <n v="20000000"/>
    <n v="0"/>
    <n v="12516000"/>
    <n v="0"/>
    <n v="1"/>
    <n v="0"/>
    <n v="0"/>
  </r>
  <r>
    <n v="52218341"/>
    <n v="5"/>
    <n v="9323"/>
    <x v="50"/>
    <s v="DIANA MARCELA BELTRAN A"/>
    <s v="NORMAL"/>
    <x v="0"/>
    <n v="41"/>
    <n v="2"/>
    <n v="12"/>
    <n v="5"/>
    <n v="1628013.75"/>
    <n v="111100000"/>
    <n v="33000000"/>
    <n v="113366000"/>
    <n v="0"/>
    <n v="2"/>
    <n v="5"/>
    <n v="5"/>
  </r>
  <r>
    <n v="1030633656"/>
    <n v="33"/>
    <n v="9954"/>
    <x v="23"/>
    <s v="ANGIE C OLAYA VARGAS"/>
    <s v="ADICIONAL"/>
    <x v="5"/>
    <n v="84"/>
    <n v="2"/>
    <n v="5"/>
    <n v="1"/>
    <n v="0"/>
    <n v="0"/>
    <n v="65500000"/>
    <n v="43253292"/>
    <n v="0"/>
    <n v="1"/>
    <n v="9"/>
    <n v="3"/>
  </r>
  <r>
    <n v="1067888710"/>
    <n v="530"/>
    <n v="36639"/>
    <x v="58"/>
    <s v="KENIA ACOSTA NARANJO"/>
    <s v="NORMAL"/>
    <x v="7"/>
    <n v="102"/>
    <n v="2"/>
    <n v="15"/>
    <n v="0"/>
    <n v="615000"/>
    <n v="11000000"/>
    <n v="0"/>
    <n v="27428700"/>
    <n v="0"/>
    <n v="3"/>
    <n v="9"/>
    <n v="15"/>
  </r>
  <r>
    <n v="1033686889"/>
    <n v="64"/>
    <n v="9178"/>
    <x v="99"/>
    <s v="SONIA ANDREA LOZANO GUACANEME"/>
    <s v="NORMAL"/>
    <x v="1"/>
    <n v="45"/>
    <n v="6"/>
    <n v="9"/>
    <n v="13"/>
    <n v="7542775.833333333"/>
    <n v="32400000"/>
    <n v="207668105.23000002"/>
    <n v="49032417"/>
    <n v="0"/>
    <n v="7"/>
    <n v="17"/>
    <n v="16"/>
  </r>
  <r>
    <n v="52760661"/>
    <n v="69"/>
    <n v="9085"/>
    <x v="5"/>
    <s v="TORRES HERNANDEZ DAYRA CARMENZA"/>
    <s v="NORMAL"/>
    <x v="1"/>
    <n v="24"/>
    <n v="0"/>
    <n v="6"/>
    <n v="2"/>
    <n v="3736290"/>
    <n v="11000000"/>
    <n v="5178664.16"/>
    <n v="9082039"/>
    <n v="0"/>
    <n v="3"/>
    <n v="8"/>
    <n v="8"/>
  </r>
  <r>
    <n v="1110546371"/>
    <n v="274"/>
    <n v="36150"/>
    <x v="110"/>
    <s v="STEVE FELIPE QUIÐONES"/>
    <s v="NORMAL"/>
    <x v="2"/>
    <n v="61"/>
    <n v="4"/>
    <n v="4"/>
    <n v="0"/>
    <n v="5350000"/>
    <n v="75500000"/>
    <n v="50800000"/>
    <n v="62360000"/>
    <n v="0"/>
    <n v="3"/>
    <n v="4"/>
    <n v="3"/>
  </r>
  <r>
    <n v="37547801"/>
    <n v="131"/>
    <n v="37161"/>
    <x v="17"/>
    <s v="TULIA INES PEDRAZA CELIS"/>
    <s v="NORMAL"/>
    <x v="6"/>
    <n v="65"/>
    <n v="2"/>
    <n v="8"/>
    <n v="3"/>
    <n v="3505000"/>
    <n v="10200000"/>
    <n v="0"/>
    <n v="36049920"/>
    <n v="0"/>
    <n v="2"/>
    <n v="11"/>
    <n v="5"/>
  </r>
  <r>
    <n v="52932545"/>
    <n v="21"/>
    <n v="9653"/>
    <x v="111"/>
    <s v="LAURA A. VAZQUES C"/>
    <s v="NORMAL"/>
    <x v="0"/>
    <n v="114"/>
    <n v="4"/>
    <n v="6"/>
    <n v="1"/>
    <n v="8628000"/>
    <n v="86000000"/>
    <n v="0"/>
    <n v="56637222"/>
    <n v="0"/>
    <n v="2"/>
    <n v="9"/>
    <n v="5"/>
  </r>
  <r>
    <n v="1039447320"/>
    <n v="174"/>
    <n v="9734"/>
    <x v="62"/>
    <s v="JULIETA DUQUE"/>
    <s v="NORMAL"/>
    <x v="7"/>
    <n v="52"/>
    <n v="3"/>
    <n v="5"/>
    <n v="5"/>
    <n v="8720698.666666666"/>
    <n v="122100000"/>
    <n v="0"/>
    <n v="68339856"/>
    <n v="0"/>
    <n v="5"/>
    <n v="16"/>
    <n v="10"/>
  </r>
  <r>
    <n v="1037632050"/>
    <n v="693"/>
    <n v="36511"/>
    <x v="112"/>
    <s v="MARIANA JARAMILLO"/>
    <s v="NORMAL"/>
    <x v="7"/>
    <n v="43"/>
    <n v="2"/>
    <n v="12"/>
    <n v="5"/>
    <n v="9840000"/>
    <n v="142000000"/>
    <n v="50000000"/>
    <n v="45650455"/>
    <n v="0"/>
    <n v="4"/>
    <n v="9"/>
    <n v="9"/>
  </r>
  <r>
    <n v="1020441734"/>
    <n v="173"/>
    <n v="37970"/>
    <x v="67"/>
    <s v="LESLI DELGADO"/>
    <s v="NORMAL"/>
    <x v="7"/>
    <n v="27"/>
    <n v="1"/>
    <n v="3"/>
    <n v="1"/>
    <n v="3690000"/>
    <n v="158400000"/>
    <n v="10000000"/>
    <n v="137406000"/>
    <n v="31592000"/>
    <n v="1"/>
    <n v="3"/>
    <n v="1"/>
  </r>
  <r>
    <n v="5824284"/>
    <n v="211"/>
    <n v="9943"/>
    <x v="65"/>
    <s v="ALVARO CARDONA FERNANDEZ"/>
    <s v="NORMAL"/>
    <x v="2"/>
    <n v="93"/>
    <n v="5"/>
    <n v="5"/>
    <n v="2"/>
    <n v="3690000"/>
    <n v="88850000"/>
    <n v="0"/>
    <n v="46650093"/>
    <n v="0"/>
    <n v="6"/>
    <n v="6"/>
    <n v="7"/>
  </r>
  <r>
    <n v="1128473381"/>
    <n v="692"/>
    <n v="37398"/>
    <x v="41"/>
    <s v="JOHANA MARCELA CASTAÐEDA"/>
    <s v="NORMAL"/>
    <x v="7"/>
    <n v="20"/>
    <n v="0"/>
    <n v="8"/>
    <n v="5"/>
    <n v="3133000"/>
    <n v="23300000"/>
    <n v="0"/>
    <n v="222157500"/>
    <n v="0"/>
    <n v="4"/>
    <n v="5"/>
    <n v="4"/>
  </r>
  <r>
    <n v="1033756294"/>
    <n v="14"/>
    <n v="9857"/>
    <x v="89"/>
    <s v="JULIE ANDREA PALACIOS CADENA"/>
    <s v="NORMAL"/>
    <x v="3"/>
    <n v="53"/>
    <n v="1"/>
    <n v="12"/>
    <n v="4"/>
    <n v="9655000"/>
    <n v="32451768.449999996"/>
    <n v="0"/>
    <n v="18482000"/>
    <n v="0"/>
    <n v="5"/>
    <n v="21"/>
    <n v="10"/>
  </r>
  <r>
    <n v="1044423436"/>
    <n v="440"/>
    <n v="36767"/>
    <x v="113"/>
    <s v="KENDRY DEL VALLE"/>
    <s v="NORMAL"/>
    <x v="0"/>
    <n v="35"/>
    <n v="0"/>
    <n v="8"/>
    <n v="6"/>
    <n v="3757566.8333333335"/>
    <n v="70900000"/>
    <n v="0"/>
    <n v="91873922"/>
    <n v="0"/>
    <n v="3"/>
    <n v="10"/>
    <n v="8"/>
  </r>
  <r>
    <n v="1098310948"/>
    <n v="341"/>
    <n v="9806"/>
    <x v="114"/>
    <s v="ANDERSON LOPEZ LOPEZ"/>
    <s v="NORMAL"/>
    <x v="2"/>
    <n v="118"/>
    <n v="4"/>
    <n v="11"/>
    <n v="4"/>
    <n v="6528613"/>
    <n v="82977361.590000004"/>
    <n v="12000000"/>
    <n v="174848408"/>
    <n v="0"/>
    <n v="5"/>
    <n v="5"/>
    <n v="6"/>
  </r>
  <r>
    <n v="28559553"/>
    <n v="18"/>
    <n v="9382"/>
    <x v="115"/>
    <s v="SANDRA ALICIA FORERO MENDIETA"/>
    <s v="NORMAL"/>
    <x v="3"/>
    <n v="0"/>
    <n v="0"/>
    <n v="0"/>
    <n v="0"/>
    <n v="0"/>
    <n v="0"/>
    <n v="0"/>
    <n v="0"/>
    <n v="0"/>
    <n v="0"/>
    <n v="0"/>
    <n v="0"/>
  </r>
  <r>
    <n v="1088318521"/>
    <n v="203"/>
    <n v="9607"/>
    <x v="4"/>
    <s v="HEIDY LICETH SALGADO LONDOÐO"/>
    <s v="NORMAL"/>
    <x v="2"/>
    <n v="78"/>
    <n v="6"/>
    <n v="14"/>
    <n v="8"/>
    <n v="11313000"/>
    <n v="77000000"/>
    <n v="0"/>
    <n v="62560000"/>
    <n v="0"/>
    <n v="7"/>
    <n v="12"/>
    <n v="11"/>
  </r>
  <r>
    <n v="1012412351"/>
    <n v="79"/>
    <n v="36373"/>
    <x v="59"/>
    <s v="JOHAN SEBASTIAN GONZALEZ FUENTES"/>
    <s v="NORMAL"/>
    <x v="3"/>
    <n v="55"/>
    <n v="2"/>
    <n v="12"/>
    <n v="2"/>
    <n v="7380000"/>
    <n v="56325384.420000002"/>
    <n v="0"/>
    <n v="75817653"/>
    <n v="0"/>
    <n v="4"/>
    <n v="6"/>
    <n v="13"/>
  </r>
  <r>
    <n v="94516890"/>
    <n v="586"/>
    <n v="20068"/>
    <x v="116"/>
    <s v="EDWIN DUARTE"/>
    <s v="NORMAL"/>
    <x v="8"/>
    <n v="50"/>
    <n v="1"/>
    <n v="6"/>
    <n v="0"/>
    <n v="1845000"/>
    <n v="43600000"/>
    <n v="0"/>
    <n v="41403496"/>
    <n v="0"/>
    <n v="3"/>
    <n v="3"/>
    <n v="3"/>
  </r>
  <r>
    <n v="36313483"/>
    <n v="216"/>
    <n v="38628"/>
    <x v="77"/>
    <s v="MARIA YURANY MEDINA QUESADA"/>
    <s v="NORMAL"/>
    <x v="2"/>
    <n v="0"/>
    <n v="0"/>
    <n v="0"/>
    <n v="0"/>
    <n v="0"/>
    <n v="0"/>
    <n v="0"/>
    <n v="0"/>
    <n v="0"/>
    <n v="1"/>
    <n v="1"/>
    <n v="1"/>
  </r>
  <r>
    <n v="1024462932"/>
    <n v="67"/>
    <n v="8946"/>
    <x v="117"/>
    <s v="KAREN IVONE MONSALVE OCHOA"/>
    <s v="NORMAL"/>
    <x v="1"/>
    <n v="67"/>
    <n v="6"/>
    <n v="10"/>
    <n v="17"/>
    <n v="6067500"/>
    <n v="83250000"/>
    <n v="69269497.900000006"/>
    <n v="72111766"/>
    <n v="0"/>
    <n v="4"/>
    <n v="2"/>
    <n v="5"/>
  </r>
  <r>
    <n v="1122124840"/>
    <n v="93"/>
    <n v="9926"/>
    <x v="118"/>
    <s v="MARTHA ELIZABETH JIMENEZ"/>
    <s v="NORMAL"/>
    <x v="6"/>
    <n v="117"/>
    <n v="3"/>
    <n v="11"/>
    <n v="2"/>
    <n v="3752876.8333333335"/>
    <n v="42000000"/>
    <n v="0"/>
    <n v="25169000"/>
    <n v="0"/>
    <n v="4"/>
    <n v="8"/>
    <n v="5"/>
  </r>
  <r>
    <n v="1033776499"/>
    <n v="58"/>
    <n v="36382"/>
    <x v="102"/>
    <s v="LADY PAOLA CARO TOLOSA"/>
    <s v="ADICIONAL"/>
    <x v="3"/>
    <n v="46"/>
    <n v="3"/>
    <n v="3"/>
    <n v="0"/>
    <n v="1415000"/>
    <n v="14500000"/>
    <n v="15000000"/>
    <n v="12028000"/>
    <n v="0"/>
    <n v="2"/>
    <n v="2"/>
    <n v="0"/>
  </r>
  <r>
    <n v="1095938036"/>
    <n v="133"/>
    <n v="37457"/>
    <x v="119"/>
    <s v="KAREN SOFIA PARDO PEREZ"/>
    <s v="NORMAL"/>
    <x v="6"/>
    <n v="54"/>
    <n v="3"/>
    <n v="9"/>
    <n v="0"/>
    <n v="5720000"/>
    <n v="45729391.460000001"/>
    <n v="0"/>
    <n v="73071587"/>
    <n v="0"/>
    <n v="5"/>
    <n v="4"/>
    <n v="2"/>
  </r>
  <r>
    <n v="98641807"/>
    <n v="952"/>
    <n v="8280"/>
    <x v="33"/>
    <s v="JHON JAIRO BETANCUR OSORNO"/>
    <s v="NORMAL"/>
    <x v="7"/>
    <n v="42"/>
    <n v="2"/>
    <n v="8"/>
    <n v="1"/>
    <n v="615000"/>
    <n v="9600000"/>
    <n v="0"/>
    <n v="53321000"/>
    <n v="0"/>
    <n v="4"/>
    <n v="6"/>
    <n v="1"/>
  </r>
  <r>
    <n v="1026251399"/>
    <n v="16"/>
    <n v="9201"/>
    <x v="10"/>
    <s v="YELENA NATHALIA GONGORA URREGO"/>
    <s v="NORMAL"/>
    <x v="3"/>
    <n v="0"/>
    <n v="0"/>
    <n v="0"/>
    <n v="0"/>
    <n v="0"/>
    <n v="0"/>
    <n v="0"/>
    <n v="0"/>
    <n v="0"/>
    <n v="0"/>
    <n v="0"/>
    <n v="0"/>
  </r>
  <r>
    <n v="37088011"/>
    <n v="163"/>
    <n v="20653"/>
    <x v="63"/>
    <s v="NATALY ALVAREZ"/>
    <s v="NORMAL"/>
    <x v="8"/>
    <n v="69"/>
    <n v="7"/>
    <n v="16"/>
    <n v="2"/>
    <n v="5914000"/>
    <n v="55800000"/>
    <n v="30000000"/>
    <n v="111773023"/>
    <n v="103500000"/>
    <n v="0"/>
    <n v="4"/>
    <n v="13"/>
  </r>
  <r>
    <n v="52821424"/>
    <n v="791"/>
    <n v="8501"/>
    <x v="120"/>
    <s v="JULY VIVIANA AMEZQUITA"/>
    <s v="NORMAL"/>
    <x v="5"/>
    <n v="66"/>
    <n v="3"/>
    <n v="17"/>
    <n v="3"/>
    <n v="12006131.5"/>
    <n v="68000000"/>
    <n v="90000000"/>
    <n v="110215350"/>
    <n v="0"/>
    <n v="2"/>
    <n v="8"/>
    <n v="5"/>
  </r>
  <r>
    <n v="1014265758"/>
    <n v="792"/>
    <n v="34786"/>
    <x v="20"/>
    <s v="ERIKA FERNANDA VELANDIA LOPEZ"/>
    <s v="NORMAL"/>
    <x v="0"/>
    <n v="78"/>
    <n v="3"/>
    <n v="12"/>
    <n v="3"/>
    <n v="4735000"/>
    <n v="93055649.390000001"/>
    <n v="0"/>
    <n v="85282339"/>
    <n v="0"/>
    <n v="5"/>
    <n v="8"/>
    <n v="2"/>
  </r>
  <r>
    <n v="65752276"/>
    <n v="121"/>
    <n v="8105"/>
    <x v="121"/>
    <s v="MARTHA BORJA CUELLAR"/>
    <s v="NORMAL"/>
    <x v="4"/>
    <n v="71"/>
    <n v="1"/>
    <n v="16"/>
    <n v="0"/>
    <n v="8240000"/>
    <n v="95911121.599999994"/>
    <n v="30000000"/>
    <n v="108446226"/>
    <n v="0"/>
    <n v="6"/>
    <n v="10"/>
    <n v="15"/>
  </r>
  <r>
    <n v="1115067117"/>
    <n v="887"/>
    <n v="38268"/>
    <x v="122"/>
    <s v="JULIAN LENIS"/>
    <s v="NORMAL"/>
    <x v="8"/>
    <n v="70"/>
    <n v="4"/>
    <n v="12"/>
    <n v="9"/>
    <n v="12485000"/>
    <n v="181900000"/>
    <n v="0"/>
    <n v="76415043"/>
    <n v="0"/>
    <n v="14"/>
    <n v="16"/>
    <n v="15"/>
  </r>
  <r>
    <n v="1023917311"/>
    <n v="700"/>
    <n v="36854"/>
    <x v="123"/>
    <s v="JERSON REINALDO CASTELLANOS CUERVO"/>
    <s v="ADICIONAL"/>
    <x v="5"/>
    <n v="39"/>
    <n v="5"/>
    <n v="7"/>
    <n v="4"/>
    <n v="4962500"/>
    <n v="47300000"/>
    <n v="0"/>
    <n v="47623012"/>
    <n v="0"/>
    <n v="4"/>
    <n v="4"/>
    <n v="6"/>
  </r>
  <r>
    <n v="1129578041"/>
    <n v="700"/>
    <n v="9221"/>
    <x v="123"/>
    <s v="RAFAEL ACUÐA ESPEJO"/>
    <s v="NORMAL"/>
    <x v="5"/>
    <n v="28"/>
    <n v="3"/>
    <n v="4"/>
    <n v="4"/>
    <n v="4621666.666666667"/>
    <n v="75000000"/>
    <n v="0"/>
    <n v="50128172"/>
    <n v="0"/>
    <n v="1"/>
    <n v="7"/>
    <n v="3"/>
  </r>
  <r>
    <n v="1015407301"/>
    <n v="280"/>
    <n v="9514"/>
    <x v="3"/>
    <s v="CAROLINA VANEGAS CELY"/>
    <s v="NORMAL"/>
    <x v="3"/>
    <n v="41"/>
    <n v="1"/>
    <n v="10"/>
    <n v="7"/>
    <n v="6067500"/>
    <n v="79500000"/>
    <n v="5000000"/>
    <n v="96376000"/>
    <n v="0"/>
    <n v="2"/>
    <n v="8"/>
    <n v="1"/>
  </r>
  <r>
    <n v="52018557"/>
    <n v="33"/>
    <n v="8034"/>
    <x v="23"/>
    <s v="GLORIA BETY VALENCIA"/>
    <s v="NORMAL"/>
    <x v="5"/>
    <n v="71"/>
    <n v="2"/>
    <n v="5"/>
    <n v="6"/>
    <n v="1415000"/>
    <n v="50000000"/>
    <n v="0"/>
    <n v="66714997"/>
    <n v="0"/>
    <n v="2"/>
    <n v="6"/>
    <n v="2"/>
  </r>
  <r>
    <n v="1016009921"/>
    <n v="59"/>
    <n v="9192"/>
    <x v="80"/>
    <s v="VIVIANA ANDREA LOPEZ"/>
    <s v="NORMAL"/>
    <x v="1"/>
    <n v="51"/>
    <n v="5"/>
    <n v="7"/>
    <n v="2"/>
    <n v="3690000"/>
    <n v="141261586.09"/>
    <n v="11713214.76"/>
    <n v="38259200"/>
    <n v="0"/>
    <n v="3"/>
    <n v="6"/>
    <n v="1"/>
  </r>
  <r>
    <n v="1019067657"/>
    <n v="29"/>
    <n v="9616"/>
    <x v="34"/>
    <s v="JULIETH VANESSA BARBOSA BARRERO"/>
    <s v="ADICIONAL"/>
    <x v="5"/>
    <n v="65"/>
    <n v="7"/>
    <n v="15"/>
    <n v="1"/>
    <n v="4490000"/>
    <n v="10000000"/>
    <n v="10000000"/>
    <n v="93721952"/>
    <n v="0"/>
    <n v="3"/>
    <n v="8"/>
    <n v="3"/>
  </r>
  <r>
    <n v="1098660043"/>
    <n v="133"/>
    <n v="31839"/>
    <x v="119"/>
    <s v="SERGIO FERNANDO BAYONA ASTRO"/>
    <s v="NORMAL"/>
    <x v="6"/>
    <n v="21"/>
    <n v="2"/>
    <n v="0"/>
    <n v="2"/>
    <n v="2890000"/>
    <n v="15000000"/>
    <n v="0"/>
    <n v="19327573"/>
    <n v="47700000"/>
    <n v="0"/>
    <n v="0"/>
    <n v="0"/>
  </r>
  <r>
    <n v="1015401515"/>
    <n v="460"/>
    <n v="31344"/>
    <x v="64"/>
    <s v="YEIMI LILIANA NOVA VILLAMIL"/>
    <s v="ADICIONAL"/>
    <x v="0"/>
    <n v="59"/>
    <n v="1"/>
    <n v="10"/>
    <n v="5"/>
    <n v="3445000"/>
    <n v="44000000"/>
    <n v="0"/>
    <n v="50572080"/>
    <n v="0"/>
    <n v="0"/>
    <n v="4"/>
    <n v="1"/>
  </r>
  <r>
    <n v="38360495"/>
    <n v="274"/>
    <n v="20240"/>
    <x v="110"/>
    <s v="ADRIANA YAMILE CHALA COBOS"/>
    <s v="NORMAL"/>
    <x v="2"/>
    <n v="103"/>
    <n v="2"/>
    <n v="12"/>
    <n v="4"/>
    <n v="6908206"/>
    <n v="76950000"/>
    <n v="30000000"/>
    <n v="127256693"/>
    <n v="0"/>
    <n v="8"/>
    <n v="10"/>
    <n v="14"/>
  </r>
  <r>
    <n v="1017184760"/>
    <n v="191"/>
    <n v="9314"/>
    <x v="124"/>
    <s v="JULY PAUBLINE GIRALDO"/>
    <s v="NORMAL"/>
    <x v="7"/>
    <n v="145"/>
    <n v="1"/>
    <n v="7"/>
    <n v="1"/>
    <n v="2970500"/>
    <n v="6000000"/>
    <n v="25000000"/>
    <n v="21200576"/>
    <n v="0"/>
    <n v="0"/>
    <n v="5"/>
    <n v="6"/>
  </r>
  <r>
    <n v="1077855133"/>
    <n v="65"/>
    <n v="9249"/>
    <x v="48"/>
    <s v="LINA PAOLA SUAREZ RAMON"/>
    <s v="NORMAL"/>
    <x v="1"/>
    <n v="0"/>
    <n v="0"/>
    <n v="0"/>
    <n v="0"/>
    <n v="0"/>
    <n v="0"/>
    <n v="0"/>
    <n v="0"/>
    <n v="0"/>
    <n v="0"/>
    <n v="0"/>
    <n v="0"/>
  </r>
  <r>
    <n v="1031134500"/>
    <n v="65"/>
    <n v="9995"/>
    <x v="48"/>
    <s v="LAURA ISABEL SANCHEZ CASALLAS"/>
    <s v="NORMAL"/>
    <x v="1"/>
    <n v="47"/>
    <n v="5"/>
    <n v="7"/>
    <n v="5"/>
    <n v="8180000"/>
    <n v="111500000"/>
    <n v="25596527.91"/>
    <n v="49990482"/>
    <n v="0"/>
    <n v="5"/>
    <n v="10"/>
    <n v="8"/>
  </r>
  <r>
    <n v="1053833641"/>
    <n v="219"/>
    <n v="10503"/>
    <x v="84"/>
    <s v="LAURA ALEJANDRA HERNANDEZ BUITRAGO"/>
    <s v="NORMAL"/>
    <x v="2"/>
    <n v="18"/>
    <n v="0"/>
    <n v="2"/>
    <n v="4"/>
    <n v="1845000"/>
    <n v="50000000"/>
    <n v="0"/>
    <n v="8183000"/>
    <n v="0"/>
    <n v="1"/>
    <n v="3"/>
    <n v="2"/>
  </r>
  <r>
    <n v="1044422356"/>
    <n v="116"/>
    <n v="37483"/>
    <x v="81"/>
    <s v="SARA PAULINA BORNACELLY BARRIOS"/>
    <s v="NORMAL"/>
    <x v="4"/>
    <n v="47"/>
    <n v="0"/>
    <n v="11"/>
    <n v="3"/>
    <n v="2562500"/>
    <n v="27100000"/>
    <n v="64000000"/>
    <n v="72544070"/>
    <n v="0"/>
    <n v="2"/>
    <n v="5"/>
    <n v="8"/>
  </r>
  <r>
    <n v="29286986"/>
    <n v="887"/>
    <n v="8828"/>
    <x v="122"/>
    <s v="PAOLA ANDREA POTES"/>
    <s v="NORMAL"/>
    <x v="8"/>
    <n v="66"/>
    <n v="6"/>
    <n v="9"/>
    <n v="2"/>
    <n v="7955940.666666667"/>
    <n v="104820000"/>
    <n v="15000000"/>
    <n v="110477209"/>
    <n v="0"/>
    <n v="8"/>
    <n v="9"/>
    <n v="8"/>
  </r>
  <r>
    <n v="1098658423"/>
    <n v="131"/>
    <n v="36987"/>
    <x v="17"/>
    <s v="GENNY CAROLINA OLIVEROS CASTELLANOS"/>
    <s v="NORMAL"/>
    <x v="6"/>
    <n v="58"/>
    <n v="2"/>
    <n v="15"/>
    <n v="1"/>
    <n v="9738705.5"/>
    <n v="98500000"/>
    <n v="0"/>
    <n v="71434136"/>
    <n v="0"/>
    <n v="3"/>
    <n v="13"/>
    <n v="5"/>
  </r>
  <r>
    <n v="1017187072"/>
    <n v="185"/>
    <n v="38221"/>
    <x v="85"/>
    <s v="MILENA TORRES"/>
    <s v="NORMAL"/>
    <x v="7"/>
    <n v="54"/>
    <n v="2"/>
    <n v="6"/>
    <n v="5"/>
    <n v="8325000"/>
    <n v="56000000"/>
    <n v="0"/>
    <n v="51598151"/>
    <n v="0"/>
    <n v="1"/>
    <n v="5"/>
    <n v="1"/>
  </r>
  <r>
    <n v="28191995"/>
    <n v="81"/>
    <n v="8019"/>
    <x v="125"/>
    <s v="LILIANA TELLEZ"/>
    <s v="NORMAL"/>
    <x v="5"/>
    <n v="50"/>
    <n v="3"/>
    <n v="10"/>
    <n v="8"/>
    <n v="7195000"/>
    <n v="62500000"/>
    <n v="98000000"/>
    <n v="62406933"/>
    <n v="0"/>
    <n v="1"/>
    <n v="2"/>
    <n v="2"/>
  </r>
  <r>
    <n v="1019081634"/>
    <n v="25"/>
    <n v="31235"/>
    <x v="53"/>
    <s v="PIZA USAQU╔N PAOLA"/>
    <s v="ADICIONAL"/>
    <x v="5"/>
    <n v="49"/>
    <n v="1"/>
    <n v="9"/>
    <n v="1"/>
    <n v="3075000"/>
    <n v="7300000"/>
    <n v="0"/>
    <n v="17142026"/>
    <n v="0"/>
    <n v="0"/>
    <n v="1"/>
    <n v="0"/>
  </r>
  <r>
    <n v="1057544312"/>
    <n v="84"/>
    <n v="9827"/>
    <x v="126"/>
    <s v="EDWIN FERNANDO HURTADO SEQUEDA"/>
    <s v="NORMAL"/>
    <x v="6"/>
    <n v="96"/>
    <n v="7"/>
    <n v="4"/>
    <n v="4"/>
    <n v="8240000"/>
    <n v="129199999.99999999"/>
    <n v="0"/>
    <n v="45919577"/>
    <n v="0"/>
    <n v="7"/>
    <n v="8"/>
    <n v="5"/>
  </r>
  <r>
    <n v="98482964"/>
    <n v="790"/>
    <n v="37129"/>
    <x v="127"/>
    <s v="AMADO DE JESUS LONDOðO"/>
    <s v="NORMAL"/>
    <x v="7"/>
    <n v="61"/>
    <n v="1"/>
    <n v="12"/>
    <n v="6"/>
    <n v="5775500"/>
    <n v="47752096.840000004"/>
    <n v="28000000"/>
    <n v="105980756"/>
    <n v="0"/>
    <n v="5"/>
    <n v="13"/>
    <n v="11"/>
  </r>
  <r>
    <n v="1070752003"/>
    <n v="634"/>
    <n v="8434"/>
    <x v="60"/>
    <s v="MILEYDI YOHANA VALDERRAMA ROBAYO"/>
    <s v="NORMAL"/>
    <x v="5"/>
    <n v="103"/>
    <n v="4"/>
    <n v="16"/>
    <n v="5"/>
    <n v="7215000"/>
    <n v="58100000"/>
    <n v="0"/>
    <n v="43516871"/>
    <n v="0"/>
    <n v="4"/>
    <n v="22"/>
    <n v="4"/>
  </r>
  <r>
    <n v="1140816983"/>
    <n v="627"/>
    <n v="37452"/>
    <x v="128"/>
    <s v="SERGIO LUIS SOJO TAPIAS"/>
    <s v="NORMAL"/>
    <x v="4"/>
    <n v="31"/>
    <n v="0"/>
    <n v="7"/>
    <n v="1"/>
    <n v="5105000"/>
    <n v="30000000"/>
    <n v="0"/>
    <n v="56168726"/>
    <n v="30000000"/>
    <n v="1"/>
    <n v="7"/>
    <n v="1"/>
  </r>
  <r>
    <n v="1018431873"/>
    <n v="58"/>
    <n v="9996"/>
    <x v="102"/>
    <s v="CASTAÐEDA VELOZA YUNNILD YADIR"/>
    <s v="NORMAL"/>
    <x v="3"/>
    <n v="37"/>
    <n v="0"/>
    <n v="5"/>
    <n v="2"/>
    <n v="5250000"/>
    <n v="41200000"/>
    <n v="11000000"/>
    <n v="74485800"/>
    <n v="0"/>
    <n v="0"/>
    <n v="9"/>
    <n v="1"/>
  </r>
  <r>
    <n v="1144061668"/>
    <n v="141"/>
    <n v="9861"/>
    <x v="32"/>
    <s v="STEFANIA MARIN"/>
    <s v="NORMAL"/>
    <x v="8"/>
    <n v="37"/>
    <n v="0"/>
    <n v="5"/>
    <n v="0"/>
    <n v="4120000"/>
    <n v="92915000"/>
    <n v="88000000"/>
    <n v="21407000"/>
    <n v="0"/>
    <n v="5"/>
    <n v="8"/>
    <n v="8"/>
  </r>
  <r>
    <n v="1035852910"/>
    <n v="684"/>
    <n v="36813"/>
    <x v="129"/>
    <s v="ELIANA GIRALDO PEREZ"/>
    <s v="NORMAL"/>
    <x v="7"/>
    <n v="44"/>
    <n v="3"/>
    <n v="10"/>
    <n v="4"/>
    <n v="2130209.5"/>
    <n v="87300000"/>
    <n v="18000000"/>
    <n v="78091906"/>
    <n v="0"/>
    <n v="5"/>
    <n v="9"/>
    <n v="5"/>
  </r>
  <r>
    <n v="1020782342"/>
    <n v="81"/>
    <n v="38105"/>
    <x v="125"/>
    <s v="JUAN SEBASTIAN NARVAEZ ARCINIEGAS"/>
    <s v="ADICIONAL"/>
    <x v="5"/>
    <n v="32"/>
    <n v="3"/>
    <n v="3"/>
    <n v="1"/>
    <n v="0"/>
    <n v="34200000"/>
    <n v="68000000"/>
    <n v="29193213"/>
    <n v="0"/>
    <n v="0"/>
    <n v="6"/>
    <n v="0"/>
  </r>
  <r>
    <n v="1053778051"/>
    <n v="971"/>
    <n v="9146"/>
    <x v="73"/>
    <s v="YURANY TRIVIÐO"/>
    <s v="NORMAL"/>
    <x v="2"/>
    <n v="71"/>
    <n v="4"/>
    <n v="12"/>
    <n v="2"/>
    <n v="7757166.666666667"/>
    <n v="87400000"/>
    <n v="10000000"/>
    <n v="134119000"/>
    <n v="0"/>
    <n v="10"/>
    <n v="12"/>
    <n v="11"/>
  </r>
  <r>
    <n v="1085255108"/>
    <n v="161"/>
    <n v="36146"/>
    <x v="72"/>
    <s v="SOFIA RODRIGUEZ"/>
    <s v="NORMAL"/>
    <x v="8"/>
    <n v="46"/>
    <n v="3"/>
    <n v="11"/>
    <n v="0"/>
    <n v="4920000"/>
    <n v="119437897.89000002"/>
    <n v="87000000"/>
    <n v="53460000"/>
    <n v="0"/>
    <n v="6"/>
    <n v="5"/>
    <n v="9"/>
  </r>
  <r>
    <n v="1094924323"/>
    <n v="228"/>
    <n v="9252"/>
    <x v="2"/>
    <s v="LUZ ELENA OBREGON LAGUNA"/>
    <s v="NORMAL"/>
    <x v="2"/>
    <n v="71"/>
    <n v="4"/>
    <n v="12"/>
    <n v="4"/>
    <n v="7625000"/>
    <n v="99500000"/>
    <n v="36449367.149999999"/>
    <n v="36102000"/>
    <n v="0"/>
    <n v="3"/>
    <n v="10"/>
    <n v="7"/>
  </r>
  <r>
    <n v="1098665338"/>
    <n v="871"/>
    <n v="31014"/>
    <x v="130"/>
    <s v="YERLY KATHERINE SEPULVEDA LOPEZ"/>
    <s v="NORMAL"/>
    <x v="6"/>
    <n v="66"/>
    <n v="5"/>
    <n v="13"/>
    <n v="7"/>
    <n v="10395000"/>
    <n v="29689920"/>
    <n v="0"/>
    <n v="136581245"/>
    <n v="0"/>
    <n v="0"/>
    <n v="6"/>
    <n v="2"/>
  </r>
  <r>
    <n v="63255194"/>
    <n v="130"/>
    <n v="8873"/>
    <x v="43"/>
    <s v="EILLEEN ASTRID PINZON BARBOSA"/>
    <s v="NORMAL"/>
    <x v="6"/>
    <n v="63"/>
    <n v="1"/>
    <n v="14"/>
    <n v="4"/>
    <n v="430000"/>
    <n v="5000000"/>
    <n v="25000000"/>
    <n v="54783710"/>
    <n v="0"/>
    <n v="1"/>
    <n v="2"/>
    <n v="0"/>
  </r>
  <r>
    <n v="1024546322"/>
    <n v="53"/>
    <n v="9972"/>
    <x v="131"/>
    <s v="ANDREA CATALINA TRUJILLO"/>
    <s v="ADICIONAL"/>
    <x v="0"/>
    <n v="62"/>
    <n v="3"/>
    <n v="5"/>
    <n v="0"/>
    <n v="3260000"/>
    <n v="76400000"/>
    <n v="0"/>
    <n v="47599774"/>
    <n v="0"/>
    <n v="0"/>
    <n v="5"/>
    <n v="7"/>
  </r>
  <r>
    <n v="1076201127"/>
    <n v="27"/>
    <n v="38433"/>
    <x v="75"/>
    <s v="WENDY  YESSENNY MORA FLOREZ"/>
    <s v="NORMAL"/>
    <x v="5"/>
    <n v="64"/>
    <n v="10"/>
    <n v="3"/>
    <n v="6"/>
    <n v="1845000"/>
    <n v="16100000.000000002"/>
    <n v="0"/>
    <n v="88698052"/>
    <n v="0"/>
    <n v="0"/>
    <n v="1"/>
    <n v="0"/>
  </r>
  <r>
    <n v="52906413"/>
    <n v="634"/>
    <n v="37004"/>
    <x v="60"/>
    <s v="ANDREA ESCUDEROS VARGAS"/>
    <s v="NORMAL"/>
    <x v="5"/>
    <n v="81"/>
    <n v="5"/>
    <n v="14"/>
    <n v="2"/>
    <n v="9635672.5"/>
    <n v="50500000"/>
    <n v="0"/>
    <n v="55835760"/>
    <n v="0"/>
    <n v="3"/>
    <n v="9"/>
    <n v="9"/>
  </r>
  <r>
    <n v="63539151"/>
    <n v="132"/>
    <n v="9180"/>
    <x v="57"/>
    <s v="LADY JOHANNA MARTINEZ MORENO"/>
    <s v="NORMAL"/>
    <x v="6"/>
    <n v="17"/>
    <n v="2"/>
    <n v="4"/>
    <n v="3"/>
    <n v="-267984"/>
    <n v="0"/>
    <n v="0"/>
    <n v="8562000"/>
    <n v="0"/>
    <n v="0"/>
    <n v="0"/>
    <n v="0"/>
  </r>
  <r>
    <n v="1022943576"/>
    <n v="443"/>
    <n v="9745"/>
    <x v="132"/>
    <s v="RA┌L ALEJANDRO NOVA HUERTAS"/>
    <s v="NORMAL"/>
    <x v="5"/>
    <n v="88"/>
    <n v="6"/>
    <n v="12"/>
    <n v="9"/>
    <n v="7380000"/>
    <n v="141000000"/>
    <n v="31000000"/>
    <n v="98229000"/>
    <n v="0"/>
    <n v="1"/>
    <n v="0"/>
    <n v="0"/>
  </r>
  <r>
    <n v="52542928"/>
    <n v="73"/>
    <n v="9759"/>
    <x v="1"/>
    <s v="RAMIREZ HURTADO IVONNE MARITZA"/>
    <s v="NORMAL"/>
    <x v="1"/>
    <n v="50"/>
    <n v="11"/>
    <n v="10"/>
    <n v="1"/>
    <n v="3398500"/>
    <n v="26200000"/>
    <n v="0"/>
    <n v="43492300"/>
    <n v="0"/>
    <n v="2"/>
    <n v="7"/>
    <n v="4"/>
  </r>
  <r>
    <n v="1110530481"/>
    <n v="274"/>
    <n v="37922"/>
    <x v="110"/>
    <s v="JULIETH ALEXANDRA MORALES GONZALEZ"/>
    <s v="ADICIONAL"/>
    <x v="2"/>
    <n v="100"/>
    <n v="4"/>
    <n v="7"/>
    <n v="3"/>
    <n v="4305000"/>
    <n v="86000000"/>
    <n v="43550000"/>
    <n v="69405400"/>
    <n v="0"/>
    <n v="2"/>
    <n v="4"/>
    <n v="1"/>
  </r>
  <r>
    <n v="1018488900"/>
    <n v="958"/>
    <n v="38412"/>
    <x v="96"/>
    <s v="DIANA ESPITIA"/>
    <s v="NORMAL"/>
    <x v="3"/>
    <n v="178"/>
    <n v="3"/>
    <n v="9"/>
    <n v="0"/>
    <n v="2460000"/>
    <n v="66230000.000000007"/>
    <n v="47000000"/>
    <n v="12006502"/>
    <n v="0"/>
    <n v="0"/>
    <n v="5"/>
    <n v="1"/>
  </r>
  <r>
    <n v="1098674803"/>
    <n v="130"/>
    <n v="38748"/>
    <x v="43"/>
    <s v="DIEGO RODRIGUEZ GELVEZ"/>
    <s v="NORMAL"/>
    <x v="6"/>
    <n v="95"/>
    <n v="3"/>
    <n v="1"/>
    <n v="0"/>
    <n v="1230000"/>
    <n v="50000000"/>
    <n v="0"/>
    <n v="69675000"/>
    <n v="0"/>
    <n v="0"/>
    <n v="10"/>
    <n v="1"/>
  </r>
  <r>
    <n v="1018491895"/>
    <n v="66"/>
    <n v="36396"/>
    <x v="105"/>
    <s v="ANGY PAOLA PEÐUELA PEDRAZA"/>
    <s v="ADICIONAL"/>
    <x v="1"/>
    <n v="61"/>
    <n v="0"/>
    <n v="5"/>
    <n v="0"/>
    <n v="0"/>
    <n v="40300000"/>
    <n v="0"/>
    <n v="32677000"/>
    <n v="0"/>
    <n v="1"/>
    <n v="4"/>
    <n v="6"/>
  </r>
  <r>
    <n v="1018500858"/>
    <n v="63"/>
    <n v="37245"/>
    <x v="14"/>
    <s v="MICHAEL JAIR F╔LIX M╔NDEZ"/>
    <s v="ADICIONAL"/>
    <x v="1"/>
    <n v="53"/>
    <n v="4"/>
    <n v="8"/>
    <n v="3"/>
    <n v="3320000"/>
    <n v="37300000"/>
    <n v="0"/>
    <n v="63027896"/>
    <n v="0"/>
    <n v="2"/>
    <n v="9"/>
    <n v="4"/>
  </r>
  <r>
    <n v="1121918685"/>
    <n v="94"/>
    <n v="36831"/>
    <x v="15"/>
    <s v="KAREN YULIETH GARCIA GALINDO"/>
    <s v="NORMAL"/>
    <x v="6"/>
    <n v="100"/>
    <n v="0"/>
    <n v="8"/>
    <n v="2"/>
    <n v="7750000"/>
    <n v="86400000"/>
    <n v="0"/>
    <n v="109120445"/>
    <n v="0"/>
    <n v="5"/>
    <n v="8"/>
    <n v="5"/>
  </r>
  <r>
    <n v="1090447613"/>
    <n v="895"/>
    <n v="31017"/>
    <x v="52"/>
    <s v="LEIDY YULIETH FIALLO MONTAÐEZ"/>
    <s v="NORMAL"/>
    <x v="6"/>
    <n v="93"/>
    <n v="2"/>
    <n v="12"/>
    <n v="2"/>
    <n v="7195000"/>
    <n v="108160000"/>
    <n v="0"/>
    <n v="138178244"/>
    <n v="0"/>
    <n v="15"/>
    <n v="29"/>
    <n v="26"/>
  </r>
  <r>
    <n v="37002376"/>
    <n v="162"/>
    <n v="8256"/>
    <x v="133"/>
    <s v="BUSTOS BEDOYA ADRIANA"/>
    <s v="NORMAL"/>
    <x v="8"/>
    <n v="301"/>
    <n v="33"/>
    <n v="5"/>
    <n v="0"/>
    <n v="3690000"/>
    <n v="39900000"/>
    <n v="0"/>
    <n v="16424000"/>
    <n v="0"/>
    <n v="1"/>
    <n v="4"/>
    <n v="5"/>
  </r>
  <r>
    <n v="41915400"/>
    <n v="341"/>
    <n v="9084"/>
    <x v="114"/>
    <s v="DORA LIGIA GARCIA"/>
    <s v="NORMAL"/>
    <x v="2"/>
    <n v="81"/>
    <n v="5"/>
    <n v="9"/>
    <n v="6"/>
    <n v="7380000"/>
    <n v="160770000"/>
    <n v="0"/>
    <n v="87977200"/>
    <n v="0"/>
    <n v="3"/>
    <n v="2"/>
    <n v="4"/>
  </r>
  <r>
    <n v="1017214837"/>
    <n v="914"/>
    <n v="36757"/>
    <x v="40"/>
    <s v="CATALINA ALVAREZ MUNERA"/>
    <s v="NORMAL"/>
    <x v="7"/>
    <n v="20"/>
    <n v="2"/>
    <n v="5"/>
    <n v="10"/>
    <n v="11656750"/>
    <n v="107200000"/>
    <n v="11144474.059999999"/>
    <n v="75785075"/>
    <n v="0"/>
    <n v="5"/>
    <n v="8"/>
    <n v="8"/>
  </r>
  <r>
    <n v="1012392841"/>
    <n v="33"/>
    <n v="9842"/>
    <x v="23"/>
    <s v="MAYLING JINNETBZA DIAZ IBARRA"/>
    <s v="ADICIONAL"/>
    <x v="5"/>
    <n v="64"/>
    <n v="2"/>
    <n v="5"/>
    <n v="2"/>
    <n v="4037500"/>
    <n v="16000000"/>
    <n v="0"/>
    <n v="36173786"/>
    <n v="0"/>
    <n v="0"/>
    <n v="11"/>
    <n v="1"/>
  </r>
  <r>
    <n v="8055804"/>
    <n v="182"/>
    <n v="36512"/>
    <x v="134"/>
    <s v="JORGE MARIO MARQUEZ"/>
    <s v="NORMAL"/>
    <x v="7"/>
    <n v="32"/>
    <n v="4"/>
    <n v="9"/>
    <n v="6"/>
    <n v="8933333.3333333321"/>
    <n v="57700000"/>
    <n v="0"/>
    <n v="48632451"/>
    <n v="0"/>
    <n v="7"/>
    <n v="9"/>
    <n v="10"/>
  </r>
  <r>
    <n v="1233890202"/>
    <n v="69"/>
    <n v="37184"/>
    <x v="5"/>
    <s v="JULLY ANDREA VALERO GOMEZ"/>
    <s v="NORMAL"/>
    <x v="1"/>
    <n v="62"/>
    <n v="6"/>
    <n v="2"/>
    <n v="1"/>
    <n v="4675000"/>
    <n v="36900000"/>
    <n v="0"/>
    <n v="500000"/>
    <n v="0"/>
    <n v="3"/>
    <n v="14"/>
    <n v="9"/>
  </r>
  <r>
    <n v="51799085"/>
    <n v="467"/>
    <n v="8191"/>
    <x v="135"/>
    <s v="ALICIA SANCHEZ PEREZ"/>
    <s v="NORMAL"/>
    <x v="1"/>
    <n v="48"/>
    <n v="5"/>
    <n v="6"/>
    <n v="14"/>
    <n v="7810000"/>
    <n v="44700000"/>
    <n v="81601600.280000001"/>
    <n v="64505164"/>
    <n v="0"/>
    <n v="1"/>
    <n v="9"/>
    <n v="5"/>
  </r>
  <r>
    <n v="1033784452"/>
    <n v="156"/>
    <n v="35881"/>
    <x v="51"/>
    <s v="NICOLE ALEXANDRA GOMEZ RUIZ"/>
    <s v="NORMAL"/>
    <x v="1"/>
    <n v="46"/>
    <n v="3"/>
    <n v="13"/>
    <n v="1"/>
    <n v="6891816.75"/>
    <n v="69300000"/>
    <n v="40000000"/>
    <n v="27413000"/>
    <n v="0"/>
    <n v="13"/>
    <n v="16"/>
    <n v="12"/>
  </r>
  <r>
    <n v="1030552786"/>
    <n v="53"/>
    <n v="9999"/>
    <x v="131"/>
    <s v="ANGIE CATHERINE BAQUERO"/>
    <s v="NORMAL"/>
    <x v="0"/>
    <n v="37"/>
    <n v="1"/>
    <n v="3"/>
    <n v="3"/>
    <n v="5424223.5"/>
    <n v="12000000"/>
    <n v="111244442.39"/>
    <n v="37230000"/>
    <n v="0"/>
    <n v="0"/>
    <n v="2"/>
    <n v="6"/>
  </r>
  <r>
    <n v="1140846801"/>
    <n v="101"/>
    <n v="36124"/>
    <x v="44"/>
    <s v="SUSANA ELIZABETH BLANCO GUERRA"/>
    <s v="NORMAL"/>
    <x v="4"/>
    <n v="25"/>
    <n v="0"/>
    <n v="2"/>
    <n v="1"/>
    <n v="1230000"/>
    <n v="38000000"/>
    <n v="0"/>
    <n v="5682232"/>
    <n v="0"/>
    <n v="2"/>
    <n v="3"/>
    <n v="0"/>
  </r>
  <r>
    <n v="1032404165"/>
    <n v="75"/>
    <n v="9626"/>
    <x v="78"/>
    <s v="BRICENO VALENCIA LADY CAROLINA"/>
    <s v="NORMAL"/>
    <x v="1"/>
    <n v="46"/>
    <n v="4"/>
    <n v="14"/>
    <n v="2"/>
    <n v="1881000"/>
    <n v="79800000"/>
    <n v="0"/>
    <n v="13270000"/>
    <n v="0"/>
    <n v="8"/>
    <n v="10"/>
    <n v="7"/>
  </r>
  <r>
    <n v="1214715191"/>
    <n v="690"/>
    <n v="37785"/>
    <x v="136"/>
    <s v="ERIKA DO SANTOS"/>
    <s v="NORMAL"/>
    <x v="7"/>
    <n v="47"/>
    <n v="4"/>
    <n v="12"/>
    <n v="5"/>
    <n v="3177500"/>
    <n v="86200000"/>
    <n v="14000000"/>
    <n v="83902064"/>
    <n v="0"/>
    <n v="1"/>
    <n v="5"/>
    <n v="3"/>
  </r>
  <r>
    <n v="1016032693"/>
    <n v="171"/>
    <n v="9981"/>
    <x v="18"/>
    <s v="JENNY PAOLA GONZALEZ YANQUEN"/>
    <s v="ADICIONAL"/>
    <x v="7"/>
    <n v="21"/>
    <n v="0"/>
    <n v="2"/>
    <n v="5"/>
    <n v="1415000"/>
    <n v="6000000"/>
    <n v="0"/>
    <n v="8347700"/>
    <n v="0"/>
    <n v="2"/>
    <n v="1"/>
    <n v="4"/>
  </r>
  <r>
    <n v="1022421705"/>
    <n v="16"/>
    <n v="38410"/>
    <x v="10"/>
    <s v="QUINONES CUIDA, LIZ YENCI"/>
    <s v="NORMAL"/>
    <x v="3"/>
    <n v="41"/>
    <n v="2"/>
    <n v="9"/>
    <n v="2"/>
    <n v="4550000"/>
    <n v="25500000"/>
    <n v="0"/>
    <n v="44553077"/>
    <n v="0"/>
    <n v="0"/>
    <n v="5"/>
    <n v="0"/>
  </r>
  <r>
    <n v="1140856648"/>
    <n v="913"/>
    <n v="36906"/>
    <x v="49"/>
    <s v="BRYAN  ANDRES GALEANO COLMENARES"/>
    <s v="NORMAL"/>
    <x v="4"/>
    <n v="39"/>
    <n v="1"/>
    <n v="3"/>
    <n v="0"/>
    <n v="2460000"/>
    <n v="54700000"/>
    <n v="0"/>
    <n v="74676467"/>
    <n v="0"/>
    <n v="1"/>
    <n v="1"/>
    <n v="8"/>
  </r>
  <r>
    <n v="52518082"/>
    <n v="79"/>
    <n v="9406"/>
    <x v="59"/>
    <s v="ESTEFANY  CRUZ CESPEDES"/>
    <s v="NORMAL"/>
    <x v="3"/>
    <n v="49"/>
    <n v="6"/>
    <n v="12"/>
    <n v="2"/>
    <n v="5535000"/>
    <n v="79100000"/>
    <n v="5706083.2699999996"/>
    <n v="58880774"/>
    <n v="0"/>
    <n v="3"/>
    <n v="11"/>
    <n v="5"/>
  </r>
  <r>
    <n v="1015401018"/>
    <n v="42"/>
    <n v="9506"/>
    <x v="137"/>
    <s v="JENNY CAROLINA RODRIGUEZ"/>
    <s v="NORMAL"/>
    <x v="0"/>
    <n v="56"/>
    <n v="2"/>
    <n v="8"/>
    <n v="2"/>
    <n v="9655000"/>
    <n v="27616401.98"/>
    <n v="0"/>
    <n v="37694000"/>
    <n v="0"/>
    <n v="5"/>
    <n v="7"/>
    <n v="3"/>
  </r>
  <r>
    <n v="1026134714"/>
    <n v="692"/>
    <n v="31857"/>
    <x v="41"/>
    <s v="LEIDY CORREA"/>
    <s v="NORMAL"/>
    <x v="7"/>
    <n v="20"/>
    <n v="2"/>
    <n v="12"/>
    <n v="0"/>
    <n v="6355000"/>
    <n v="87158913"/>
    <n v="0"/>
    <n v="133045202"/>
    <n v="0"/>
    <n v="1"/>
    <n v="2"/>
    <n v="1"/>
  </r>
  <r>
    <n v="1026285669"/>
    <n v="634"/>
    <n v="38871"/>
    <x v="60"/>
    <s v="ESNEIDER  HERNANDEZ HERNANDEZ"/>
    <s v="ADICIONAL"/>
    <x v="5"/>
    <n v="46"/>
    <n v="1"/>
    <n v="1"/>
    <n v="0"/>
    <n v="0"/>
    <n v="0"/>
    <n v="0"/>
    <n v="815000"/>
    <n v="0"/>
    <n v="0"/>
    <n v="0"/>
    <n v="0"/>
  </r>
  <r>
    <n v="1098760868"/>
    <n v="131"/>
    <n v="37546"/>
    <x v="17"/>
    <s v="DIANA GISELLA CRISTANCHO NIÐO"/>
    <s v="NORMAL"/>
    <x v="6"/>
    <n v="52"/>
    <n v="4"/>
    <n v="1"/>
    <n v="1"/>
    <n v="5308000"/>
    <n v="5000000"/>
    <n v="0"/>
    <n v="26298770"/>
    <n v="0"/>
    <n v="2"/>
    <n v="6"/>
    <n v="2"/>
  </r>
  <r>
    <n v="1022381175"/>
    <n v="37"/>
    <n v="9843"/>
    <x v="138"/>
    <s v="PEDRO ALONSO PARDO GOMEZ"/>
    <s v="ADICIONAL"/>
    <x v="5"/>
    <n v="29"/>
    <n v="3"/>
    <n v="6"/>
    <n v="3"/>
    <n v="672754"/>
    <n v="0"/>
    <n v="0"/>
    <n v="40221000"/>
    <n v="0"/>
    <n v="0"/>
    <n v="1"/>
    <n v="3"/>
  </r>
  <r>
    <n v="20932597"/>
    <n v="46"/>
    <n v="8112"/>
    <x v="139"/>
    <s v="MARY LUZ CASTILLO"/>
    <s v="NORMAL"/>
    <x v="3"/>
    <n v="39"/>
    <n v="3"/>
    <n v="11"/>
    <n v="6"/>
    <n v="2460000"/>
    <n v="50000000"/>
    <n v="0"/>
    <n v="104794715"/>
    <n v="0"/>
    <n v="0"/>
    <n v="3"/>
    <n v="1"/>
  </r>
  <r>
    <n v="1015415335"/>
    <n v="156"/>
    <n v="38818"/>
    <x v="51"/>
    <s v="LEIDY JOHANA JARAMILLO"/>
    <s v="NORMAL"/>
    <x v="1"/>
    <n v="71"/>
    <n v="4"/>
    <n v="12"/>
    <n v="4"/>
    <n v="7810000"/>
    <n v="19000000"/>
    <n v="0"/>
    <n v="37855918"/>
    <n v="0"/>
    <n v="1"/>
    <n v="4"/>
    <n v="3"/>
  </r>
  <r>
    <n v="45489129"/>
    <n v="115"/>
    <n v="8316"/>
    <x v="28"/>
    <s v="LUZ ELENA MARQUEZ"/>
    <s v="NORMAL"/>
    <x v="4"/>
    <n v="66"/>
    <n v="2"/>
    <n v="6"/>
    <n v="1"/>
    <n v="3423387"/>
    <n v="40000000"/>
    <n v="35000000"/>
    <n v="34018514"/>
    <n v="0"/>
    <n v="1"/>
    <n v="10"/>
    <n v="2"/>
  </r>
  <r>
    <n v="1061727834"/>
    <n v="949"/>
    <n v="9527"/>
    <x v="140"/>
    <s v="CAMILA SAAVEDRA"/>
    <s v="NORMAL"/>
    <x v="8"/>
    <n v="298"/>
    <n v="6"/>
    <n v="5"/>
    <n v="2"/>
    <n v="11093000"/>
    <n v="207403257.42000002"/>
    <n v="9622761.4100000001"/>
    <n v="62326262"/>
    <n v="0"/>
    <n v="6"/>
    <n v="12"/>
    <n v="10"/>
  </r>
  <r>
    <n v="98771814"/>
    <n v="171"/>
    <n v="9739"/>
    <x v="18"/>
    <s v="SEBASTIAN MEJIA"/>
    <s v="NORMAL"/>
    <x v="7"/>
    <n v="58"/>
    <n v="1"/>
    <n v="4"/>
    <n v="1"/>
    <n v="12022258.333333334"/>
    <n v="51405740"/>
    <n v="0"/>
    <n v="77665000"/>
    <n v="0"/>
    <n v="7"/>
    <n v="7"/>
    <n v="9"/>
  </r>
  <r>
    <n v="1022350929"/>
    <n v="897"/>
    <n v="37544"/>
    <x v="141"/>
    <s v="LOZANO RIVERA CELDY MARCELA"/>
    <s v="NORMAL"/>
    <x v="1"/>
    <n v="50"/>
    <n v="5"/>
    <n v="8"/>
    <n v="4"/>
    <n v="5105000"/>
    <n v="92879282.99000001"/>
    <n v="0"/>
    <n v="31781003"/>
    <n v="0"/>
    <n v="4"/>
    <n v="9"/>
    <n v="7"/>
  </r>
  <r>
    <n v="1024552869"/>
    <n v="429"/>
    <n v="9918"/>
    <x v="55"/>
    <s v="DIANA PAOLA RUIZ RODRIGUEZ"/>
    <s v="NORMAL"/>
    <x v="5"/>
    <n v="46"/>
    <n v="4"/>
    <n v="12"/>
    <n v="2"/>
    <n v="6520000"/>
    <n v="65616843.899999991"/>
    <n v="22516863.990000002"/>
    <n v="117094327"/>
    <n v="0"/>
    <n v="0"/>
    <n v="5"/>
    <n v="2"/>
  </r>
  <r>
    <n v="1214714414"/>
    <n v="190"/>
    <n v="37524"/>
    <x v="142"/>
    <s v="DILAN PEREZ"/>
    <s v="NORMAL"/>
    <x v="7"/>
    <n v="33"/>
    <n v="2"/>
    <n v="20"/>
    <n v="8"/>
    <n v="7189000"/>
    <n v="123809896.90000001"/>
    <n v="5000000"/>
    <n v="93989000"/>
    <n v="0"/>
    <n v="4"/>
    <n v="4"/>
    <n v="9"/>
  </r>
  <r>
    <n v="1030565519"/>
    <n v="47"/>
    <n v="9757"/>
    <x v="76"/>
    <s v="MARIA YULEINIS BENJUMEA"/>
    <s v="NORMAL"/>
    <x v="3"/>
    <n v="31"/>
    <n v="8"/>
    <n v="11"/>
    <n v="6"/>
    <n v="2277716.5"/>
    <n v="57600000"/>
    <n v="73623215.329999998"/>
    <n v="139480889"/>
    <n v="0"/>
    <n v="0"/>
    <n v="8"/>
    <n v="4"/>
  </r>
  <r>
    <n v="29126952"/>
    <n v="38"/>
    <n v="8550"/>
    <x v="143"/>
    <s v="LUZ ENID PEREZ IBARRA"/>
    <s v="NORMAL"/>
    <x v="6"/>
    <n v="47"/>
    <n v="4"/>
    <n v="16"/>
    <n v="7"/>
    <n v="8240000"/>
    <n v="86000000"/>
    <n v="0"/>
    <n v="55735109"/>
    <n v="0"/>
    <n v="5"/>
    <n v="14"/>
    <n v="11"/>
  </r>
  <r>
    <n v="45766371"/>
    <n v="116"/>
    <n v="8744"/>
    <x v="81"/>
    <s v="KAROL OCHOA LLAMAS"/>
    <s v="NORMAL"/>
    <x v="4"/>
    <n v="23"/>
    <n v="1"/>
    <n v="3"/>
    <n v="3"/>
    <n v="3690000"/>
    <n v="11200000"/>
    <n v="0"/>
    <n v="16072000"/>
    <n v="0"/>
    <n v="1"/>
    <n v="4"/>
    <n v="7"/>
  </r>
  <r>
    <n v="1018468257"/>
    <n v="443"/>
    <n v="38530"/>
    <x v="132"/>
    <s v="ANDRES CAMILO CRUZ GARCIA"/>
    <s v="NORMAL"/>
    <x v="5"/>
    <n v="43"/>
    <n v="3"/>
    <n v="7"/>
    <n v="1"/>
    <n v="1230000"/>
    <n v="65900000.000000007"/>
    <n v="0"/>
    <n v="17607292"/>
    <n v="0"/>
    <n v="0"/>
    <n v="0"/>
    <n v="0"/>
  </r>
  <r>
    <n v="57464859"/>
    <n v="121"/>
    <n v="9673"/>
    <x v="121"/>
    <s v="KAREN JOHANA MARTINEZ MENDOZA"/>
    <s v="NORMAL"/>
    <x v="4"/>
    <n v="71"/>
    <n v="5"/>
    <n v="13"/>
    <n v="0"/>
    <n v="7010000"/>
    <n v="78000000"/>
    <n v="0"/>
    <n v="19688051"/>
    <n v="0"/>
    <n v="4"/>
    <n v="6"/>
    <n v="12"/>
  </r>
  <r>
    <n v="38213008"/>
    <n v="211"/>
    <n v="32141"/>
    <x v="65"/>
    <s v="LEIDY CORONEL SANCHEZ"/>
    <s v="NORMAL"/>
    <x v="2"/>
    <n v="104"/>
    <n v="7"/>
    <n v="9"/>
    <n v="0"/>
    <n v="5965000"/>
    <n v="84250000"/>
    <n v="0"/>
    <n v="33904049"/>
    <n v="0"/>
    <n v="5"/>
    <n v="10"/>
    <n v="11"/>
  </r>
  <r>
    <n v="32298599"/>
    <n v="190"/>
    <n v="37395"/>
    <x v="142"/>
    <s v="BLANCA PINILLA"/>
    <s v="NORMAL"/>
    <x v="7"/>
    <n v="45"/>
    <n v="1"/>
    <n v="3"/>
    <n v="2"/>
    <n v="6553411.583333334"/>
    <n v="0"/>
    <n v="0"/>
    <n v="111454600"/>
    <n v="0"/>
    <n v="6"/>
    <n v="9"/>
    <n v="11"/>
  </r>
  <r>
    <n v="98696279"/>
    <n v="983"/>
    <n v="37787"/>
    <x v="144"/>
    <s v="ALECXIS ZAPATA"/>
    <s v="NORMAL"/>
    <x v="7"/>
    <n v="43"/>
    <n v="2"/>
    <n v="12"/>
    <n v="4"/>
    <n v="9034000"/>
    <n v="195760000"/>
    <n v="0"/>
    <n v="99865792"/>
    <n v="0"/>
    <n v="5"/>
    <n v="7"/>
    <n v="9"/>
  </r>
  <r>
    <n v="14135841"/>
    <n v="209"/>
    <n v="13890"/>
    <x v="145"/>
    <s v="JORGE DIAZGRANADOS ZAMUDIO"/>
    <s v="NORMAL"/>
    <x v="2"/>
    <n v="86"/>
    <n v="7"/>
    <n v="16"/>
    <n v="3"/>
    <n v="11315000"/>
    <n v="181915144.17000002"/>
    <n v="0"/>
    <n v="71676000"/>
    <n v="0"/>
    <n v="9"/>
    <n v="24"/>
    <n v="11"/>
  </r>
  <r>
    <n v="1024468109"/>
    <n v="53"/>
    <n v="36633"/>
    <x v="131"/>
    <s v="ELIZABETH SUAREZ"/>
    <s v="NORMAL"/>
    <x v="0"/>
    <n v="85"/>
    <n v="4"/>
    <n v="6"/>
    <n v="3"/>
    <n v="7886000"/>
    <n v="48500000"/>
    <n v="20000000"/>
    <n v="66004275"/>
    <n v="0"/>
    <n v="0"/>
    <n v="13"/>
    <n v="8"/>
  </r>
  <r>
    <n v="10782685"/>
    <n v="191"/>
    <n v="8219"/>
    <x v="124"/>
    <s v="IGNACIO LORA"/>
    <s v="NORMAL"/>
    <x v="7"/>
    <n v="72"/>
    <n v="1"/>
    <n v="6"/>
    <n v="3"/>
    <n v="633000"/>
    <n v="6700000"/>
    <n v="1814466.8600000003"/>
    <n v="2106027"/>
    <n v="0"/>
    <n v="1"/>
    <n v="1"/>
    <n v="8"/>
  </r>
  <r>
    <n v="1014265444"/>
    <n v="57"/>
    <n v="9864"/>
    <x v="146"/>
    <s v="DANIELA RODRIGUEZ CHITIVA"/>
    <s v="NORMAL"/>
    <x v="3"/>
    <n v="85"/>
    <n v="5"/>
    <n v="10"/>
    <n v="0"/>
    <n v="185000"/>
    <n v="30500000"/>
    <n v="0"/>
    <n v="44868400"/>
    <n v="0"/>
    <n v="0"/>
    <n v="2"/>
    <n v="1"/>
  </r>
  <r>
    <n v="1019011320"/>
    <n v="98"/>
    <n v="37300"/>
    <x v="147"/>
    <s v="ANDRES DAVID GIL TORRES"/>
    <s v="NORMAL"/>
    <x v="0"/>
    <n v="111"/>
    <n v="6"/>
    <n v="12"/>
    <n v="7"/>
    <n v="6150000"/>
    <n v="78500000"/>
    <n v="0"/>
    <n v="69398646"/>
    <n v="0"/>
    <n v="3"/>
    <n v="14"/>
    <n v="5"/>
  </r>
  <r>
    <n v="45647324"/>
    <n v="790"/>
    <n v="9974"/>
    <x v="127"/>
    <s v="ANA MILENA CASTRO"/>
    <s v="ADICIONAL"/>
    <x v="7"/>
    <n v="41"/>
    <n v="0"/>
    <n v="6"/>
    <n v="4"/>
    <n v="4218205.5"/>
    <n v="55000000"/>
    <n v="0"/>
    <n v="73974000"/>
    <n v="0"/>
    <n v="2"/>
    <n v="9"/>
    <n v="6"/>
  </r>
  <r>
    <n v="1023950498"/>
    <n v="64"/>
    <n v="36870"/>
    <x v="99"/>
    <s v="GINNA PAOLA PRIETO GARCIA"/>
    <s v="NORMAL"/>
    <x v="1"/>
    <n v="88"/>
    <n v="4"/>
    <n v="10"/>
    <n v="3"/>
    <n v="3135000"/>
    <n v="70000000"/>
    <n v="6500000"/>
    <n v="35179000"/>
    <n v="0"/>
    <n v="2"/>
    <n v="11"/>
    <n v="1"/>
  </r>
  <r>
    <n v="16452335"/>
    <n v="586"/>
    <n v="8235"/>
    <x v="116"/>
    <s v="EDGAR DAVILA"/>
    <s v="NORMAL"/>
    <x v="8"/>
    <n v="55"/>
    <n v="2"/>
    <n v="13"/>
    <n v="5"/>
    <n v="11184238.25"/>
    <n v="141000000"/>
    <n v="0"/>
    <n v="76895423"/>
    <n v="0"/>
    <n v="12"/>
    <n v="18"/>
    <n v="22"/>
  </r>
  <r>
    <n v="1070005061"/>
    <n v="81"/>
    <n v="9872"/>
    <x v="125"/>
    <s v="YENNI FERNANDA MORA TORRES"/>
    <s v="NORMAL"/>
    <x v="5"/>
    <n v="20"/>
    <n v="0"/>
    <n v="8"/>
    <n v="2"/>
    <n v="8610000"/>
    <n v="42600000"/>
    <n v="0"/>
    <n v="17842500"/>
    <n v="0"/>
    <n v="5"/>
    <n v="7"/>
    <n v="11"/>
  </r>
  <r>
    <n v="1024586012"/>
    <n v="468"/>
    <n v="38817"/>
    <x v="19"/>
    <s v="MARIA CAMILA TOCANCIPA IBAÐEZ"/>
    <s v="ADICIONAL"/>
    <x v="1"/>
    <n v="67"/>
    <n v="1"/>
    <n v="2"/>
    <n v="1"/>
    <n v="0"/>
    <n v="0"/>
    <n v="0"/>
    <n v="20103477"/>
    <n v="0"/>
    <n v="0"/>
    <n v="8"/>
    <n v="0"/>
  </r>
  <r>
    <n v="1019079199"/>
    <n v="37"/>
    <n v="35970"/>
    <x v="138"/>
    <s v="CAROLINA PRECIADO GUTIERREZ"/>
    <s v="ADICIONAL"/>
    <x v="5"/>
    <n v="67"/>
    <n v="1"/>
    <n v="7"/>
    <n v="1"/>
    <n v="4425134.666666666"/>
    <n v="53600000"/>
    <n v="0"/>
    <n v="123674814"/>
    <n v="0"/>
    <n v="2"/>
    <n v="5"/>
    <n v="6"/>
  </r>
  <r>
    <n v="8356403"/>
    <n v="190"/>
    <n v="9962"/>
    <x v="142"/>
    <s v="GUSTAVO ADOLFO DAVILA"/>
    <s v="NORMAL"/>
    <x v="7"/>
    <n v="14"/>
    <n v="1"/>
    <n v="7"/>
    <n v="1"/>
    <n v="9997492.666666666"/>
    <n v="75800000"/>
    <n v="0"/>
    <n v="87831618"/>
    <n v="0"/>
    <n v="5"/>
    <n v="17"/>
    <n v="11"/>
  </r>
  <r>
    <n v="1013596375"/>
    <n v="24"/>
    <n v="9840"/>
    <x v="104"/>
    <s v="NAYIBE HERNANDEZ GARCIA"/>
    <s v="NORMAL"/>
    <x v="5"/>
    <n v="0"/>
    <n v="0"/>
    <n v="0"/>
    <n v="1"/>
    <n v="0"/>
    <n v="0"/>
    <n v="0"/>
    <n v="0"/>
    <n v="0"/>
    <n v="0"/>
    <n v="0"/>
    <n v="0"/>
  </r>
  <r>
    <n v="66776912"/>
    <n v="159"/>
    <n v="8252"/>
    <x v="148"/>
    <s v="JAZMIN RAMIREZ"/>
    <s v="NORMAL"/>
    <x v="8"/>
    <n v="91"/>
    <n v="11"/>
    <n v="7"/>
    <n v="0"/>
    <n v="2830000"/>
    <n v="93400000"/>
    <n v="88000000"/>
    <n v="63287345"/>
    <n v="0"/>
    <n v="5"/>
    <n v="9"/>
    <n v="12"/>
  </r>
  <r>
    <n v="30775465"/>
    <n v="798"/>
    <n v="8322"/>
    <x v="149"/>
    <s v="BLANCA ZAPATEIRO"/>
    <s v="NORMAL"/>
    <x v="4"/>
    <n v="78"/>
    <n v="4"/>
    <n v="12"/>
    <n v="1"/>
    <n v="3750000"/>
    <n v="32500000"/>
    <n v="0"/>
    <n v="7351700"/>
    <n v="0"/>
    <n v="1"/>
    <n v="12"/>
    <n v="18"/>
  </r>
  <r>
    <n v="1071549297"/>
    <n v="27"/>
    <n v="37985"/>
    <x v="75"/>
    <s v="OLIVER BARBOSA MARTINEZ"/>
    <s v="ADICIONAL"/>
    <x v="5"/>
    <n v="61"/>
    <n v="3"/>
    <n v="10"/>
    <n v="9"/>
    <n v="615000"/>
    <n v="62614999.999999993"/>
    <n v="0"/>
    <n v="103209749"/>
    <n v="0"/>
    <n v="1"/>
    <n v="7"/>
    <n v="4"/>
  </r>
  <r>
    <n v="1033718896"/>
    <n v="440"/>
    <n v="35984"/>
    <x v="113"/>
    <s v="JINETH SANCHEZ"/>
    <s v="NORMAL"/>
    <x v="0"/>
    <n v="34"/>
    <n v="2"/>
    <n v="8"/>
    <n v="0"/>
    <n v="2663000"/>
    <n v="62300000"/>
    <n v="0"/>
    <n v="41892000"/>
    <n v="0"/>
    <n v="0"/>
    <n v="3"/>
    <n v="0"/>
  </r>
  <r>
    <n v="35536092"/>
    <n v="757"/>
    <n v="8527"/>
    <x v="150"/>
    <s v="YURANY TORRES BOHORQUEZ"/>
    <s v="NORMAL"/>
    <x v="3"/>
    <n v="70"/>
    <n v="1"/>
    <n v="5"/>
    <n v="2"/>
    <n v="8550000"/>
    <n v="170600000"/>
    <n v="3250068.4399999995"/>
    <n v="45805400"/>
    <n v="0"/>
    <n v="3"/>
    <n v="4"/>
    <n v="3"/>
  </r>
  <r>
    <n v="1110510965"/>
    <n v="98"/>
    <n v="37913"/>
    <x v="147"/>
    <s v="JOSE NICOLAS HERNANDEZ PUENTES"/>
    <s v="NORMAL"/>
    <x v="0"/>
    <n v="94"/>
    <n v="3"/>
    <n v="2"/>
    <n v="3"/>
    <n v="2478000"/>
    <n v="21650000"/>
    <n v="0"/>
    <n v="43234000"/>
    <n v="0"/>
    <n v="1"/>
    <n v="5"/>
    <n v="2"/>
  </r>
  <r>
    <n v="1117519854"/>
    <n v="460"/>
    <n v="37545"/>
    <x v="64"/>
    <s v="YEFFERSON MELO"/>
    <s v="NORMAL"/>
    <x v="0"/>
    <n v="57"/>
    <n v="4"/>
    <n v="9"/>
    <n v="1"/>
    <n v="4490000"/>
    <n v="72200000"/>
    <n v="0"/>
    <n v="54390000"/>
    <n v="0"/>
    <n v="0"/>
    <n v="4"/>
    <n v="1"/>
  </r>
  <r>
    <n v="1031159675"/>
    <n v="63"/>
    <n v="9764"/>
    <x v="14"/>
    <s v="MORENO LADINO ZULLY"/>
    <s v="NORMAL"/>
    <x v="1"/>
    <n v="61"/>
    <n v="11"/>
    <n v="12"/>
    <n v="8"/>
    <n v="6314220.833333333"/>
    <n v="82402155.180000007"/>
    <n v="23038518.77"/>
    <n v="25320000"/>
    <n v="0"/>
    <n v="3"/>
    <n v="10"/>
    <n v="7"/>
  </r>
  <r>
    <n v="1073512421"/>
    <n v="443"/>
    <n v="9785"/>
    <x v="132"/>
    <s v="KAROLAN ANDREA SANABRIA"/>
    <s v="NORMAL"/>
    <x v="5"/>
    <n v="8"/>
    <n v="0"/>
    <n v="0"/>
    <n v="1"/>
    <n v="0"/>
    <n v="0"/>
    <n v="0"/>
    <n v="0"/>
    <n v="0"/>
    <n v="0"/>
    <n v="0"/>
    <n v="0"/>
  </r>
  <r>
    <n v="1114819342"/>
    <n v="159"/>
    <n v="8846"/>
    <x v="148"/>
    <s v="ANDREA JUDITH RAMIREZ"/>
    <s v="NORMAL"/>
    <x v="8"/>
    <n v="57"/>
    <n v="11"/>
    <n v="10"/>
    <n v="0"/>
    <n v="4490000"/>
    <n v="90000000"/>
    <n v="22000000"/>
    <n v="18197004"/>
    <n v="0"/>
    <n v="2"/>
    <n v="3"/>
    <n v="2"/>
  </r>
  <r>
    <n v="1065613673"/>
    <n v="123"/>
    <n v="9891"/>
    <x v="151"/>
    <s v="MAYRA YESENIA MUÐOZ IBAÐEZ"/>
    <s v="NORMAL"/>
    <x v="4"/>
    <n v="79"/>
    <n v="2"/>
    <n v="7"/>
    <n v="0"/>
    <n v="2760000"/>
    <n v="70200000"/>
    <n v="0"/>
    <n v="20728714"/>
    <n v="0"/>
    <n v="2"/>
    <n v="6"/>
    <n v="6"/>
  </r>
  <r>
    <n v="1095823021"/>
    <n v="467"/>
    <n v="36939"/>
    <x v="135"/>
    <s v="NANCY MILENA JAIMES CLAROS"/>
    <s v="NORMAL"/>
    <x v="1"/>
    <n v="66"/>
    <n v="8"/>
    <n v="6"/>
    <n v="3"/>
    <n v="6395000"/>
    <n v="43500000"/>
    <n v="17297752.879999999"/>
    <n v="43248934"/>
    <n v="0"/>
    <n v="1"/>
    <n v="2"/>
    <n v="0"/>
  </r>
  <r>
    <n v="55221108"/>
    <n v="121"/>
    <n v="9621"/>
    <x v="121"/>
    <s v="ORFELINA MERCEDES CASTRO RUIZ"/>
    <s v="NORMAL"/>
    <x v="4"/>
    <n v="61"/>
    <n v="8"/>
    <n v="13"/>
    <n v="2"/>
    <n v="7246250"/>
    <n v="43696826.129999995"/>
    <n v="0"/>
    <n v="17822774"/>
    <n v="20000000"/>
    <n v="4"/>
    <n v="18"/>
    <n v="14"/>
  </r>
  <r>
    <n v="86070441"/>
    <n v="93"/>
    <n v="20628"/>
    <x v="118"/>
    <s v="JHON ALEXANDER MENDEZ"/>
    <s v="NORMAL"/>
    <x v="6"/>
    <n v="134"/>
    <n v="1"/>
    <n v="9"/>
    <n v="1"/>
    <n v="6275000"/>
    <n v="95700000"/>
    <n v="0"/>
    <n v="84039991"/>
    <n v="0"/>
    <n v="3"/>
    <n v="8"/>
    <n v="3"/>
  </r>
  <r>
    <n v="1020733998"/>
    <n v="12"/>
    <n v="9570"/>
    <x v="0"/>
    <s v="ELKIN DAVID RODRIGUEZ"/>
    <s v="NORMAL"/>
    <x v="0"/>
    <n v="41"/>
    <n v="2"/>
    <n v="7"/>
    <n v="2"/>
    <n v="5535000"/>
    <n v="45300000"/>
    <n v="82962147.819999993"/>
    <n v="20635000"/>
    <n v="0"/>
    <n v="0"/>
    <n v="16"/>
    <n v="0"/>
  </r>
  <r>
    <n v="1102848741"/>
    <n v="936"/>
    <n v="9162"/>
    <x v="152"/>
    <s v="STEFANIA HERNANDEZ"/>
    <s v="NORMAL"/>
    <x v="7"/>
    <n v="84"/>
    <n v="0"/>
    <n v="5"/>
    <n v="3"/>
    <n v="7565000"/>
    <n v="265399999.99999997"/>
    <n v="35000000"/>
    <n v="4000000"/>
    <n v="0"/>
    <n v="5"/>
    <n v="5"/>
    <n v="6"/>
  </r>
  <r>
    <n v="1053809183"/>
    <n v="204"/>
    <n v="38709"/>
    <x v="21"/>
    <s v="YULIANA ANDREA HERNANDEZ MORALES"/>
    <s v="NORMAL"/>
    <x v="2"/>
    <n v="79"/>
    <n v="4"/>
    <n v="12"/>
    <n v="0"/>
    <n v="4960000"/>
    <n v="105110000"/>
    <n v="0"/>
    <n v="56782070"/>
    <n v="0"/>
    <n v="3"/>
    <n v="11"/>
    <n v="4"/>
  </r>
  <r>
    <n v="1073508522"/>
    <n v="51"/>
    <n v="36841"/>
    <x v="97"/>
    <s v="OSCAR IVAN MORENO"/>
    <s v="ADICIONAL"/>
    <x v="0"/>
    <n v="68"/>
    <n v="2"/>
    <n v="7"/>
    <n v="4"/>
    <n v="2250833.3333333335"/>
    <n v="65569999.999999993"/>
    <n v="0"/>
    <n v="43521000"/>
    <n v="0"/>
    <n v="0"/>
    <n v="5"/>
    <n v="3"/>
  </r>
  <r>
    <n v="1037586659"/>
    <n v="690"/>
    <n v="38696"/>
    <x v="136"/>
    <s v="DANIEL ALAPE"/>
    <s v="NORMAL"/>
    <x v="7"/>
    <n v="37"/>
    <n v="5"/>
    <n v="3"/>
    <n v="0"/>
    <n v="6765000"/>
    <n v="145000000"/>
    <n v="0"/>
    <n v="47290595"/>
    <n v="0"/>
    <n v="8"/>
    <n v="10"/>
    <n v="11"/>
  </r>
  <r>
    <n v="52878312"/>
    <n v="688"/>
    <n v="31581"/>
    <x v="70"/>
    <s v="DIANA PAOLA GONZALEZ PEÐA"/>
    <s v="NORMAL"/>
    <x v="1"/>
    <n v="86"/>
    <n v="1"/>
    <n v="7"/>
    <n v="1"/>
    <n v="10640000"/>
    <n v="208644020.78"/>
    <n v="0"/>
    <n v="6842000"/>
    <n v="0"/>
    <n v="10"/>
    <n v="9"/>
    <n v="10"/>
  </r>
  <r>
    <n v="1116040428"/>
    <n v="355"/>
    <n v="37329"/>
    <x v="153"/>
    <s v="FAUNER JOSE SALCEDO ATILUA"/>
    <s v="NORMAL"/>
    <x v="6"/>
    <n v="50"/>
    <n v="2"/>
    <n v="13"/>
    <n v="2"/>
    <n v="3260000"/>
    <n v="11200000"/>
    <n v="0"/>
    <n v="0"/>
    <n v="0"/>
    <n v="2"/>
    <n v="2"/>
    <n v="2"/>
  </r>
  <r>
    <n v="52431613"/>
    <n v="51"/>
    <n v="8083"/>
    <x v="97"/>
    <s v="DIANA RUIZ TORRES"/>
    <s v="NORMAL"/>
    <x v="0"/>
    <n v="77"/>
    <n v="3"/>
    <n v="5"/>
    <n v="6"/>
    <n v="7585000"/>
    <n v="161300000"/>
    <n v="25000000"/>
    <n v="101435918"/>
    <n v="0"/>
    <n v="2"/>
    <n v="7"/>
    <n v="8"/>
  </r>
  <r>
    <n v="1013625226"/>
    <n v="37"/>
    <n v="9209"/>
    <x v="138"/>
    <s v="JHON FREDDY VASQUEZ VASQUEZ"/>
    <s v="NORMAL"/>
    <x v="5"/>
    <n v="71"/>
    <n v="8"/>
    <n v="12"/>
    <n v="4"/>
    <n v="9840000"/>
    <n v="90000000"/>
    <n v="0"/>
    <n v="130957000"/>
    <n v="0"/>
    <n v="0"/>
    <n v="2"/>
    <n v="4"/>
  </r>
  <r>
    <n v="1069474417"/>
    <n v="928"/>
    <n v="9964"/>
    <x v="46"/>
    <s v="SARA TORRES SANCHEZ"/>
    <s v="NORMAL"/>
    <x v="7"/>
    <n v="80"/>
    <n v="1"/>
    <n v="12"/>
    <n v="1"/>
    <n v="2460000"/>
    <n v="11200000"/>
    <n v="0"/>
    <n v="14324700"/>
    <n v="0"/>
    <n v="3"/>
    <n v="8"/>
    <n v="9"/>
  </r>
  <r>
    <n v="1075212214"/>
    <n v="691"/>
    <n v="37818"/>
    <x v="154"/>
    <s v="MARLON ANDRES ESPAÐA COLORADO"/>
    <s v="NORMAL"/>
    <x v="2"/>
    <n v="50"/>
    <n v="5"/>
    <n v="13"/>
    <n v="8"/>
    <n v="11070000"/>
    <n v="156300000"/>
    <n v="46142000"/>
    <n v="65772000"/>
    <n v="0"/>
    <n v="9"/>
    <n v="9"/>
    <n v="9"/>
  </r>
  <r>
    <n v="1017190332"/>
    <n v="936"/>
    <n v="34498"/>
    <x v="152"/>
    <s v="STIVEN NAVARRO"/>
    <s v="NORMAL"/>
    <x v="7"/>
    <n v="65"/>
    <n v="0"/>
    <n v="8"/>
    <n v="1"/>
    <n v="10127500"/>
    <n v="166500000"/>
    <n v="0"/>
    <n v="65686484"/>
    <n v="32616000"/>
    <n v="7"/>
    <n v="6"/>
    <n v="7"/>
  </r>
  <r>
    <n v="1003994517"/>
    <n v="691"/>
    <n v="9393"/>
    <x v="154"/>
    <s v="LAURA STEPHANY TAMAYO BASTO"/>
    <s v="NORMAL"/>
    <x v="2"/>
    <n v="44"/>
    <n v="4"/>
    <n v="13"/>
    <n v="0"/>
    <n v="11685000"/>
    <n v="172692349.99000001"/>
    <n v="0"/>
    <n v="52600000"/>
    <n v="0"/>
    <n v="8"/>
    <n v="8"/>
    <n v="8"/>
  </r>
  <r>
    <n v="67039877"/>
    <n v="929"/>
    <n v="9880"/>
    <x v="155"/>
    <s v="IRINA PATRICIA CORDERO PEREZ"/>
    <s v="NORMAL"/>
    <x v="4"/>
    <n v="114"/>
    <n v="10"/>
    <n v="6"/>
    <n v="2"/>
    <n v="8065000"/>
    <n v="97000000"/>
    <n v="0"/>
    <n v="55426636"/>
    <n v="0"/>
    <n v="1"/>
    <n v="10"/>
    <n v="9"/>
  </r>
  <r>
    <n v="1032397127"/>
    <n v="688"/>
    <n v="9923"/>
    <x v="70"/>
    <s v="LAURA VICTORIA MORA GONZALEZ"/>
    <s v="NORMAL"/>
    <x v="1"/>
    <n v="69"/>
    <n v="2"/>
    <n v="16"/>
    <n v="1"/>
    <n v="9225000"/>
    <n v="78200000"/>
    <n v="39000000"/>
    <n v="28941000"/>
    <n v="0"/>
    <n v="6"/>
    <n v="14"/>
    <n v="7"/>
  </r>
  <r>
    <n v="1031158854"/>
    <n v="75"/>
    <n v="38527"/>
    <x v="78"/>
    <s v="PAULA MATILDE VEGA DOMINGUEZ"/>
    <s v="NORMAL"/>
    <x v="1"/>
    <n v="86"/>
    <n v="4"/>
    <n v="4"/>
    <n v="2"/>
    <n v="3690000"/>
    <n v="0"/>
    <n v="0"/>
    <n v="23294000"/>
    <n v="0"/>
    <n v="1"/>
    <n v="7"/>
    <n v="6"/>
  </r>
  <r>
    <n v="30333496"/>
    <n v="219"/>
    <n v="8373"/>
    <x v="84"/>
    <s v="MARIA EUGENIA MARTINEZ MARTINEZ"/>
    <s v="NORMAL"/>
    <x v="2"/>
    <n v="69"/>
    <n v="4"/>
    <n v="6"/>
    <n v="9"/>
    <n v="1845000"/>
    <n v="42000000"/>
    <n v="0"/>
    <n v="18673000"/>
    <n v="0"/>
    <n v="0"/>
    <n v="0"/>
    <n v="1"/>
  </r>
  <r>
    <n v="1032459798"/>
    <n v="69"/>
    <n v="38359"/>
    <x v="5"/>
    <s v="DANIEL STEVEN CORRALES MORALES"/>
    <s v="ADICIONAL"/>
    <x v="1"/>
    <n v="63"/>
    <n v="2"/>
    <n v="6"/>
    <n v="9"/>
    <n v="5535000"/>
    <n v="81500000"/>
    <n v="0"/>
    <n v="49389687"/>
    <n v="0"/>
    <n v="5"/>
    <n v="8"/>
    <n v="12"/>
  </r>
  <r>
    <n v="1014210774"/>
    <n v="791"/>
    <n v="37595"/>
    <x v="120"/>
    <s v="EDISON EDILBERTO GUERRERO RODRIGUEZ"/>
    <s v="NORMAL"/>
    <x v="5"/>
    <n v="48"/>
    <n v="1"/>
    <n v="5"/>
    <n v="5"/>
    <n v="457083.33333333302"/>
    <n v="54600000"/>
    <n v="19000000"/>
    <n v="76151279"/>
    <n v="0"/>
    <n v="4"/>
    <n v="3"/>
    <n v="1"/>
  </r>
  <r>
    <n v="1016035566"/>
    <n v="443"/>
    <n v="9795"/>
    <x v="132"/>
    <s v="PAOLA GISETTT HERRERA MEDINA"/>
    <s v="ADICIONAL"/>
    <x v="5"/>
    <n v="85"/>
    <n v="3"/>
    <n v="2"/>
    <n v="8"/>
    <n v="198386.83333333337"/>
    <n v="22200000"/>
    <n v="25000000"/>
    <n v="46446731"/>
    <n v="0"/>
    <n v="0"/>
    <n v="0"/>
    <n v="0"/>
  </r>
  <r>
    <n v="44156232"/>
    <n v="104"/>
    <n v="33797"/>
    <x v="82"/>
    <s v="YURANI BUENDIA SUCRE"/>
    <s v="NORMAL"/>
    <x v="4"/>
    <n v="78"/>
    <n v="5"/>
    <n v="8"/>
    <n v="2"/>
    <n v="3741250"/>
    <n v="55000000"/>
    <n v="0"/>
    <n v="38630000"/>
    <n v="0"/>
    <n v="3"/>
    <n v="13"/>
    <n v="12"/>
  </r>
  <r>
    <n v="1022346094"/>
    <n v="498"/>
    <n v="9950"/>
    <x v="156"/>
    <s v="MARILYN CONTRERAS MURILLO"/>
    <s v="NORMAL"/>
    <x v="5"/>
    <n v="127"/>
    <n v="8"/>
    <n v="5"/>
    <n v="1"/>
    <n v="2307284.25"/>
    <n v="-1000000"/>
    <n v="0"/>
    <n v="20684793"/>
    <n v="0"/>
    <n v="2"/>
    <n v="14"/>
    <n v="4"/>
  </r>
  <r>
    <n v="1015448134"/>
    <n v="700"/>
    <n v="36826"/>
    <x v="123"/>
    <s v="LAURA CATALINA BENJUMEA ANDRADE"/>
    <s v="ADICIONAL"/>
    <x v="5"/>
    <n v="39"/>
    <n v="2"/>
    <n v="10"/>
    <n v="2"/>
    <n v="3505000"/>
    <n v="88600000"/>
    <n v="0"/>
    <n v="38329676"/>
    <n v="0"/>
    <n v="0"/>
    <n v="1"/>
    <n v="0"/>
  </r>
  <r>
    <n v="1014273167"/>
    <n v="509"/>
    <n v="35968"/>
    <x v="42"/>
    <s v="ANGIE JULIETH MONTENEGRO QUIROGA"/>
    <s v="NORMAL"/>
    <x v="5"/>
    <n v="28"/>
    <n v="5"/>
    <n v="18"/>
    <n v="5"/>
    <n v="5586250"/>
    <n v="165000000"/>
    <n v="0"/>
    <n v="134632000"/>
    <n v="0"/>
    <n v="3"/>
    <n v="10"/>
    <n v="1"/>
  </r>
  <r>
    <n v="1152688576"/>
    <n v="790"/>
    <n v="9722"/>
    <x v="127"/>
    <s v="DAYANA NOREÐA"/>
    <s v="NORMAL"/>
    <x v="7"/>
    <n v="56"/>
    <n v="2"/>
    <n v="16"/>
    <n v="1"/>
    <n v="12150833.333333334"/>
    <n v="126200000"/>
    <n v="0"/>
    <n v="135185095"/>
    <n v="0"/>
    <n v="9"/>
    <n v="13"/>
    <n v="10"/>
  </r>
  <r>
    <n v="1037621761"/>
    <n v="789"/>
    <n v="38619"/>
    <x v="95"/>
    <s v="CAROLINA URREGO"/>
    <s v="NORMAL"/>
    <x v="7"/>
    <n v="33"/>
    <n v="2"/>
    <n v="9"/>
    <n v="2"/>
    <n v="6150000"/>
    <n v="82130000"/>
    <n v="0"/>
    <n v="143904409"/>
    <n v="0"/>
    <n v="1"/>
    <n v="7"/>
    <n v="2"/>
  </r>
  <r>
    <n v="1024590952"/>
    <n v="58"/>
    <n v="37259"/>
    <x v="102"/>
    <s v="JUAN FELIPE PARRA"/>
    <s v="NORMAL"/>
    <x v="3"/>
    <n v="63"/>
    <n v="5"/>
    <n v="7"/>
    <n v="0"/>
    <n v="0"/>
    <n v="0"/>
    <n v="34000000"/>
    <n v="15539134"/>
    <n v="0"/>
    <n v="1"/>
    <n v="8"/>
    <n v="0"/>
  </r>
  <r>
    <n v="1017169122"/>
    <n v="790"/>
    <n v="36001"/>
    <x v="127"/>
    <s v="JOHANA MARCELA GUARIN"/>
    <s v="NORMAL"/>
    <x v="7"/>
    <n v="57"/>
    <n v="1"/>
    <n v="5"/>
    <n v="2"/>
    <n v="9243000"/>
    <n v="142390000"/>
    <n v="0"/>
    <n v="73022677"/>
    <n v="0"/>
    <n v="8"/>
    <n v="14"/>
    <n v="10"/>
  </r>
  <r>
    <n v="1019019613"/>
    <n v="634"/>
    <n v="9195"/>
    <x v="60"/>
    <s v="YEISON SALGADO"/>
    <s v="NORMAL"/>
    <x v="5"/>
    <n v="98"/>
    <n v="11"/>
    <n v="9"/>
    <n v="1"/>
    <n v="7045833.333333333"/>
    <n v="16200000"/>
    <n v="15000000"/>
    <n v="59242003"/>
    <n v="0"/>
    <n v="0"/>
    <n v="5"/>
    <n v="5"/>
  </r>
  <r>
    <n v="1020427303"/>
    <n v="697"/>
    <n v="9895"/>
    <x v="157"/>
    <s v="TATIANA ARENAS"/>
    <s v="NORMAL"/>
    <x v="7"/>
    <n v="40"/>
    <n v="3"/>
    <n v="12"/>
    <n v="0"/>
    <n v="10894265.333333334"/>
    <n v="104815603.86"/>
    <n v="85000000"/>
    <n v="90500800"/>
    <n v="0"/>
    <n v="4"/>
    <n v="5"/>
    <n v="5"/>
  </r>
  <r>
    <n v="1018475713"/>
    <n v="14"/>
    <n v="9959"/>
    <x v="89"/>
    <s v="VASQUEZ HERNANDEZ, CRISTHIAN"/>
    <s v="ADICIONAL"/>
    <x v="3"/>
    <n v="48"/>
    <n v="1"/>
    <n v="12"/>
    <n v="7"/>
    <n v="1230000"/>
    <n v="0"/>
    <n v="24499724.379999999"/>
    <n v="28192000"/>
    <n v="0"/>
    <n v="0"/>
    <n v="6"/>
    <n v="4"/>
  </r>
  <r>
    <n v="57466761"/>
    <n v="717"/>
    <n v="8990"/>
    <x v="92"/>
    <s v="ESILDA KARINA CASTRO FARELO"/>
    <s v="NORMAL"/>
    <x v="4"/>
    <n v="37"/>
    <n v="3"/>
    <n v="6"/>
    <n v="0"/>
    <n v="9532500"/>
    <n v="126900000"/>
    <n v="0"/>
    <n v="15850000"/>
    <n v="0"/>
    <n v="1"/>
    <n v="9"/>
    <n v="1"/>
  </r>
  <r>
    <n v="1075227846"/>
    <n v="847"/>
    <n v="9012"/>
    <x v="158"/>
    <s v="NADIA PAOLA PEREZ HINESTROZA"/>
    <s v="NORMAL"/>
    <x v="2"/>
    <n v="36"/>
    <n v="0"/>
    <n v="11"/>
    <n v="0"/>
    <n v="7565000"/>
    <n v="273600000"/>
    <n v="9479940.5199999996"/>
    <n v="101958000"/>
    <n v="0"/>
    <n v="7"/>
    <n v="7"/>
    <n v="8"/>
  </r>
  <r>
    <n v="64572729"/>
    <n v="176"/>
    <n v="9940"/>
    <x v="87"/>
    <s v="NURY JAZMIN MERCADO"/>
    <s v="NORMAL"/>
    <x v="7"/>
    <n v="43"/>
    <n v="1"/>
    <n v="2"/>
    <n v="0"/>
    <n v="2538955.666666667"/>
    <n v="73000000"/>
    <n v="0"/>
    <n v="57714896"/>
    <n v="0"/>
    <n v="1"/>
    <n v="5"/>
    <n v="4"/>
  </r>
  <r>
    <n v="1022387032"/>
    <n v="98"/>
    <n v="38669"/>
    <x v="147"/>
    <s v="ANGY VIVIANA VARGAS DUARTE"/>
    <s v="ADICIONAL"/>
    <x v="0"/>
    <n v="65"/>
    <n v="2"/>
    <n v="2"/>
    <n v="0"/>
    <n v="1230000"/>
    <n v="11800000"/>
    <n v="0"/>
    <n v="49688447"/>
    <n v="0"/>
    <n v="1"/>
    <n v="2"/>
    <n v="0"/>
  </r>
  <r>
    <n v="1017150670"/>
    <n v="188"/>
    <n v="37971"/>
    <x v="79"/>
    <s v="MONICA GOMEZ"/>
    <s v="NORMAL"/>
    <x v="7"/>
    <n v="28"/>
    <n v="1"/>
    <n v="5"/>
    <n v="9"/>
    <n v="3520725.833333333"/>
    <n v="84500000"/>
    <n v="0"/>
    <n v="132425775"/>
    <n v="0"/>
    <n v="6"/>
    <n v="7"/>
    <n v="7"/>
  </r>
  <r>
    <n v="1088264450"/>
    <n v="201"/>
    <n v="9991"/>
    <x v="11"/>
    <s v="RAQUEL ZAMBRANO PEÐA"/>
    <s v="NORMAL"/>
    <x v="2"/>
    <n v="95"/>
    <n v="2"/>
    <n v="14"/>
    <n v="0"/>
    <n v="7565000"/>
    <n v="103300000"/>
    <n v="0"/>
    <n v="39021773"/>
    <n v="0"/>
    <n v="8"/>
    <n v="13"/>
    <n v="9"/>
  </r>
  <r>
    <n v="1075265993"/>
    <n v="847"/>
    <n v="37819"/>
    <x v="158"/>
    <s v="LUISA FERNANDA MEDINA PERDOMO"/>
    <s v="NORMAL"/>
    <x v="2"/>
    <n v="58"/>
    <n v="0"/>
    <n v="13"/>
    <n v="0"/>
    <n v="7380000"/>
    <n v="456980000"/>
    <n v="72950000"/>
    <n v="143106154"/>
    <n v="0"/>
    <n v="7"/>
    <n v="8"/>
    <n v="12"/>
  </r>
  <r>
    <n v="1073700380"/>
    <n v="65"/>
    <n v="38128"/>
    <x v="48"/>
    <s v="HERNANDEZ MEDINA KATHERINE JULIETH"/>
    <s v="NORMAL"/>
    <x v="1"/>
    <n v="54"/>
    <n v="1"/>
    <n v="8"/>
    <n v="2"/>
    <n v="6540322.75"/>
    <n v="15000000"/>
    <n v="0"/>
    <n v="73889400"/>
    <n v="0"/>
    <n v="3"/>
    <n v="16"/>
    <n v="10"/>
  </r>
  <r>
    <n v="1072709481"/>
    <n v="81"/>
    <n v="9839"/>
    <x v="125"/>
    <s v="VIVIANA VALERIA REYES PULIDO"/>
    <s v="ADICIONAL"/>
    <x v="5"/>
    <n v="57"/>
    <n v="4"/>
    <n v="5"/>
    <n v="2"/>
    <n v="2890940.833333333"/>
    <n v="34355783.710000001"/>
    <n v="0"/>
    <n v="57185042"/>
    <n v="0"/>
    <n v="1"/>
    <n v="3"/>
    <n v="2"/>
  </r>
  <r>
    <n v="1023904082"/>
    <n v="12"/>
    <n v="9511"/>
    <x v="0"/>
    <s v="KAREN LORENA ORTIZ ANTONIO"/>
    <s v="NORMAL"/>
    <x v="0"/>
    <n v="51"/>
    <n v="3"/>
    <n v="7"/>
    <n v="4"/>
    <n v="5475000"/>
    <n v="86000000"/>
    <n v="8364232.3999999985"/>
    <n v="90864424"/>
    <n v="0"/>
    <n v="2"/>
    <n v="9"/>
    <n v="7"/>
  </r>
  <r>
    <n v="55058995"/>
    <n v="90"/>
    <n v="8185"/>
    <x v="66"/>
    <s v="LUZ MIRYAM ALVAREZ BARRERA"/>
    <s v="NORMAL"/>
    <x v="3"/>
    <n v="94"/>
    <n v="5"/>
    <n v="9"/>
    <n v="2"/>
    <n v="4933502.083333333"/>
    <n v="13000000"/>
    <n v="0"/>
    <n v="56270914"/>
    <n v="0"/>
    <n v="0"/>
    <n v="1"/>
    <n v="0"/>
  </r>
  <r>
    <n v="1023940901"/>
    <n v="42"/>
    <n v="37203"/>
    <x v="137"/>
    <s v="BORDA CARDENAS NICOLAS DAVID"/>
    <s v="NORMAL"/>
    <x v="0"/>
    <n v="44"/>
    <n v="1"/>
    <n v="11"/>
    <n v="4"/>
    <n v="9840000"/>
    <n v="41200000"/>
    <n v="0"/>
    <n v="36333000"/>
    <n v="0"/>
    <n v="4"/>
    <n v="4"/>
    <n v="3"/>
  </r>
  <r>
    <n v="1000468159"/>
    <n v="20"/>
    <n v="37258"/>
    <x v="69"/>
    <s v="GLORIA BRIGITH ARGUELLO FONTECHA"/>
    <s v="NORMAL"/>
    <x v="3"/>
    <n v="201"/>
    <n v="3"/>
    <n v="11"/>
    <n v="4"/>
    <n v="2475416.6666666665"/>
    <n v="5300000"/>
    <n v="4431320.3499999996"/>
    <n v="69780340"/>
    <n v="0"/>
    <n v="1"/>
    <n v="2"/>
    <n v="1"/>
  </r>
  <r>
    <n v="1024540551"/>
    <n v="473"/>
    <n v="9855"/>
    <x v="159"/>
    <s v="YICETH ANDREA LOAIZA"/>
    <s v="NORMAL"/>
    <x v="1"/>
    <n v="52"/>
    <n v="3"/>
    <n v="12"/>
    <n v="6"/>
    <n v="7475726"/>
    <n v="94700000"/>
    <n v="16500000"/>
    <n v="111952257"/>
    <n v="0"/>
    <n v="5"/>
    <n v="6"/>
    <n v="5"/>
  </r>
  <r>
    <n v="1088256620"/>
    <n v="885"/>
    <n v="9203"/>
    <x v="47"/>
    <s v="JOHANA MARCELA CELIS CASTAÐEDA"/>
    <s v="NORMAL"/>
    <x v="2"/>
    <n v="74"/>
    <n v="6"/>
    <n v="9"/>
    <n v="10"/>
    <n v="10560000"/>
    <n v="50000000"/>
    <n v="29578232.559999999"/>
    <n v="105079714"/>
    <n v="0"/>
    <n v="2"/>
    <n v="1"/>
    <n v="2"/>
  </r>
  <r>
    <n v="1088015479"/>
    <n v="208"/>
    <n v="9289"/>
    <x v="9"/>
    <s v="MARIA DEL PILAR MORALES URANGO"/>
    <s v="NORMAL"/>
    <x v="2"/>
    <n v="11"/>
    <n v="0"/>
    <n v="5"/>
    <n v="3"/>
    <n v="3565000"/>
    <n v="73500000"/>
    <n v="58100000"/>
    <n v="29526430"/>
    <n v="111591000"/>
    <n v="2"/>
    <n v="3"/>
    <n v="2"/>
  </r>
  <r>
    <n v="1019018671"/>
    <n v="811"/>
    <n v="38555"/>
    <x v="106"/>
    <s v="FABIAN CAMILO RODRIGUEZ OLAYA"/>
    <s v="NORMAL"/>
    <x v="0"/>
    <n v="29"/>
    <n v="0"/>
    <n v="7"/>
    <n v="3"/>
    <n v="2645000"/>
    <n v="57500000"/>
    <n v="0"/>
    <n v="100109494"/>
    <n v="0"/>
    <n v="2"/>
    <n v="2"/>
    <n v="2"/>
  </r>
  <r>
    <n v="1144130200"/>
    <n v="586"/>
    <n v="38488"/>
    <x v="116"/>
    <s v="DIANA MURIEL"/>
    <s v="ADICIONAL"/>
    <x v="8"/>
    <n v="44"/>
    <n v="2"/>
    <n v="6"/>
    <n v="0"/>
    <n v="1415000"/>
    <n v="20885000"/>
    <n v="0"/>
    <n v="75000947"/>
    <n v="0"/>
    <n v="5"/>
    <n v="6"/>
    <n v="6"/>
  </r>
  <r>
    <n v="1023004085"/>
    <n v="57"/>
    <n v="38235"/>
    <x v="146"/>
    <s v="CARRILLO PERDOMO, JHOAN STEBAN"/>
    <s v="NORMAL"/>
    <x v="3"/>
    <n v="114"/>
    <n v="3"/>
    <n v="5"/>
    <n v="3"/>
    <n v="0"/>
    <n v="0"/>
    <n v="0"/>
    <n v="83580501"/>
    <n v="0"/>
    <n v="0"/>
    <n v="1"/>
    <n v="2"/>
  </r>
  <r>
    <n v="16788624"/>
    <n v="152"/>
    <n v="8518"/>
    <x v="160"/>
    <s v="JUAN CARLOS TEJADA"/>
    <s v="NORMAL"/>
    <x v="8"/>
    <n v="212"/>
    <n v="2"/>
    <n v="12"/>
    <n v="4"/>
    <n v="5535000"/>
    <n v="47500000"/>
    <n v="0"/>
    <n v="76554000"/>
    <n v="0"/>
    <n v="3"/>
    <n v="9"/>
    <n v="2"/>
  </r>
  <r>
    <n v="1070948005"/>
    <n v="90"/>
    <n v="32061"/>
    <x v="66"/>
    <s v="FANNY ASTRID GUALTEROS MARTINEZ"/>
    <s v="NORMAL"/>
    <x v="3"/>
    <n v="36"/>
    <n v="1"/>
    <n v="1"/>
    <n v="0"/>
    <n v="1415000"/>
    <n v="0"/>
    <n v="0"/>
    <n v="720000"/>
    <n v="0"/>
    <n v="0"/>
    <n v="0"/>
    <n v="0"/>
  </r>
  <r>
    <n v="1090465063"/>
    <n v="634"/>
    <n v="36170"/>
    <x v="60"/>
    <s v="DINORAHT GERALDIN LEON ORTEGA"/>
    <s v="ADICIONAL"/>
    <x v="5"/>
    <n v="0"/>
    <n v="0"/>
    <n v="0"/>
    <n v="0"/>
    <n v="0"/>
    <n v="0"/>
    <n v="0"/>
    <n v="0"/>
    <n v="0"/>
    <n v="0"/>
    <n v="0"/>
    <n v="0"/>
  </r>
  <r>
    <n v="35536840"/>
    <n v="723"/>
    <n v="9574"/>
    <x v="161"/>
    <s v="ANGELICA MARIA FLOREZ OTALORA"/>
    <s v="NORMAL"/>
    <x v="3"/>
    <n v="129"/>
    <n v="7"/>
    <n v="5"/>
    <n v="3"/>
    <n v="3204548.3333333335"/>
    <n v="116880000"/>
    <n v="0"/>
    <n v="65028000"/>
    <n v="40000000"/>
    <n v="0"/>
    <n v="1"/>
    <n v="1"/>
  </r>
  <r>
    <n v="16934969"/>
    <n v="150"/>
    <n v="9208"/>
    <x v="162"/>
    <s v="RUBEN DIAZ"/>
    <s v="NORMAL"/>
    <x v="8"/>
    <n v="70"/>
    <n v="4"/>
    <n v="14"/>
    <n v="3"/>
    <n v="3895000"/>
    <n v="140200000"/>
    <n v="40000000"/>
    <n v="68942711"/>
    <n v="0"/>
    <n v="3"/>
    <n v="7"/>
    <n v="3"/>
  </r>
  <r>
    <n v="1014224368"/>
    <n v="58"/>
    <n v="9410"/>
    <x v="102"/>
    <s v="KADDY MAYETH  ROSERO PERDOMO"/>
    <s v="NORMAL"/>
    <x v="3"/>
    <n v="39"/>
    <n v="2"/>
    <n v="6"/>
    <n v="0"/>
    <n v="-55141"/>
    <n v="16200000"/>
    <n v="0"/>
    <n v="29410000"/>
    <n v="0"/>
    <n v="0"/>
    <n v="0"/>
    <n v="0"/>
  </r>
  <r>
    <n v="8104319"/>
    <n v="190"/>
    <n v="9526"/>
    <x v="142"/>
    <s v="VITALIANO PARRA BERNAL"/>
    <s v="NORMAL"/>
    <x v="7"/>
    <n v="13"/>
    <n v="1"/>
    <n v="18"/>
    <n v="2"/>
    <n v="3690000"/>
    <n v="50000000"/>
    <n v="0"/>
    <n v="132669800"/>
    <n v="0"/>
    <n v="2"/>
    <n v="4"/>
    <n v="4"/>
  </r>
  <r>
    <n v="43702565"/>
    <n v="182"/>
    <n v="36816"/>
    <x v="134"/>
    <s v="ANGELID RIVERA"/>
    <s v="NORMAL"/>
    <x v="7"/>
    <n v="34"/>
    <n v="4"/>
    <n v="7"/>
    <n v="2"/>
    <n v="2460000"/>
    <n v="94900000"/>
    <n v="18000000"/>
    <n v="10345000"/>
    <n v="0"/>
    <n v="6"/>
    <n v="5"/>
    <n v="7"/>
  </r>
  <r>
    <n v="1118806722"/>
    <n v="115"/>
    <n v="37102"/>
    <x v="28"/>
    <s v="ANDRES EDUARDO MENGUAL RAMIREZ"/>
    <s v="NORMAL"/>
    <x v="4"/>
    <n v="71"/>
    <n v="4"/>
    <n v="8"/>
    <n v="0"/>
    <n v="2030000"/>
    <n v="6200000"/>
    <n v="0"/>
    <n v="41800000"/>
    <n v="0"/>
    <n v="0"/>
    <n v="6"/>
    <n v="13"/>
  </r>
  <r>
    <n v="1088034671"/>
    <n v="696"/>
    <n v="38750"/>
    <x v="163"/>
    <s v="DIANA MILENA RUIZ BERMUDEZ"/>
    <s v="ADICIONAL"/>
    <x v="2"/>
    <n v="79"/>
    <n v="1"/>
    <n v="9"/>
    <n v="0"/>
    <n v="3750000"/>
    <n v="35000000"/>
    <n v="0"/>
    <n v="70252948"/>
    <n v="0"/>
    <n v="2"/>
    <n v="1"/>
    <n v="2"/>
  </r>
  <r>
    <n v="35353550"/>
    <n v="90"/>
    <n v="8739"/>
    <x v="66"/>
    <s v="LILIAM SOFIA REYES"/>
    <s v="NORMAL"/>
    <x v="3"/>
    <n v="59"/>
    <n v="2"/>
    <n v="2"/>
    <n v="1"/>
    <n v="3341559.1666666665"/>
    <n v="802814.90000000037"/>
    <n v="0"/>
    <n v="4010900"/>
    <n v="0"/>
    <n v="0"/>
    <n v="5"/>
    <n v="2"/>
  </r>
  <r>
    <n v="1140842460"/>
    <n v="107"/>
    <n v="38756"/>
    <x v="164"/>
    <s v="GARY ROBERTO MOLINA LOZANO"/>
    <s v="NORMAL"/>
    <x v="4"/>
    <n v="74"/>
    <n v="4"/>
    <n v="11"/>
    <n v="0"/>
    <n v="6150000"/>
    <n v="21200000"/>
    <n v="0"/>
    <n v="20844000"/>
    <n v="0"/>
    <n v="4"/>
    <n v="10"/>
    <n v="11"/>
  </r>
  <r>
    <n v="1030623687"/>
    <n v="77"/>
    <n v="38222"/>
    <x v="165"/>
    <s v="JOHN ALEXANDER GUERRERO SAENZ"/>
    <s v="NORMAL"/>
    <x v="1"/>
    <n v="55"/>
    <n v="2"/>
    <n v="6"/>
    <n v="2"/>
    <n v="1640000"/>
    <n v="36000000"/>
    <n v="13528213.539999999"/>
    <n v="28038600"/>
    <n v="0"/>
    <n v="1"/>
    <n v="3"/>
    <n v="3"/>
  </r>
  <r>
    <n v="1018489502"/>
    <n v="3"/>
    <n v="36557"/>
    <x v="36"/>
    <s v="LEYDI CAROLINA MORANTES RODRIGUEZ"/>
    <s v="NORMAL"/>
    <x v="3"/>
    <n v="0"/>
    <n v="0"/>
    <n v="0"/>
    <n v="3"/>
    <n v="0"/>
    <n v="0"/>
    <n v="0"/>
    <n v="0"/>
    <n v="0"/>
    <n v="0"/>
    <n v="1"/>
    <n v="3"/>
  </r>
  <r>
    <n v="1128281637"/>
    <n v="175"/>
    <n v="38697"/>
    <x v="61"/>
    <s v="VERONICA ESPINOSA"/>
    <s v="NORMAL"/>
    <x v="7"/>
    <n v="18"/>
    <n v="1"/>
    <n v="5"/>
    <n v="1"/>
    <n v="1451000"/>
    <n v="87112406"/>
    <n v="0"/>
    <n v="41479000"/>
    <n v="0"/>
    <n v="3"/>
    <n v="5"/>
    <n v="4"/>
  </r>
  <r>
    <n v="1140831173"/>
    <n v="935"/>
    <n v="38165"/>
    <x v="90"/>
    <s v="EUGENIO ROBERTO MELENDEZ OBREDOR"/>
    <s v="NORMAL"/>
    <x v="4"/>
    <n v="52"/>
    <n v="0"/>
    <n v="7"/>
    <n v="1"/>
    <n v="4750416.666666667"/>
    <n v="31800000"/>
    <n v="0"/>
    <n v="49202334"/>
    <n v="0"/>
    <n v="2"/>
    <n v="7"/>
    <n v="13"/>
  </r>
  <r>
    <n v="33366411"/>
    <n v="84"/>
    <n v="9140"/>
    <x v="126"/>
    <s v="JOHANNA ANDREA GIRALDO PEREZ"/>
    <s v="NORMAL"/>
    <x v="6"/>
    <n v="94"/>
    <n v="7"/>
    <n v="12"/>
    <n v="3"/>
    <n v="6150000"/>
    <n v="147600000"/>
    <n v="0"/>
    <n v="107905800"/>
    <n v="0"/>
    <n v="2"/>
    <n v="2"/>
    <n v="2"/>
  </r>
  <r>
    <n v="36307362"/>
    <n v="216"/>
    <n v="8198"/>
    <x v="77"/>
    <s v="GINA PAOLA VARGAS TOVAR"/>
    <s v="NORMAL"/>
    <x v="2"/>
    <n v="72"/>
    <n v="3"/>
    <n v="12"/>
    <n v="0"/>
    <n v="6765000"/>
    <n v="157900000"/>
    <n v="0"/>
    <n v="98486895"/>
    <n v="0"/>
    <n v="5"/>
    <n v="5"/>
    <n v="4"/>
  </r>
  <r>
    <n v="1024535146"/>
    <n v="18"/>
    <n v="38236"/>
    <x v="115"/>
    <s v="OSCAR ANDRES VASQUEZ"/>
    <s v="NORMAL"/>
    <x v="3"/>
    <n v="73"/>
    <n v="1"/>
    <n v="8"/>
    <n v="0"/>
    <n v="0"/>
    <n v="109794868.97"/>
    <n v="0"/>
    <n v="4886150"/>
    <n v="0"/>
    <n v="1"/>
    <n v="4"/>
    <n v="2"/>
  </r>
  <r>
    <n v="32781444"/>
    <n v="627"/>
    <n v="8302"/>
    <x v="128"/>
    <s v="SILVANA DE LEON PACHECO"/>
    <s v="NORMAL"/>
    <x v="4"/>
    <n v="33"/>
    <n v="2"/>
    <n v="9"/>
    <n v="1"/>
    <n v="4305000"/>
    <n v="73000000"/>
    <n v="0"/>
    <n v="64839852"/>
    <n v="0"/>
    <n v="1"/>
    <n v="8"/>
    <n v="5"/>
  </r>
  <r>
    <n v="23756021"/>
    <n v="355"/>
    <n v="37321"/>
    <x v="153"/>
    <s v="KAREN LORENA RAMIREZ RODRIGUEZ"/>
    <s v="NORMAL"/>
    <x v="6"/>
    <n v="44"/>
    <n v="0"/>
    <n v="9"/>
    <n v="0"/>
    <n v="5165000"/>
    <n v="28700000"/>
    <n v="10193837.68"/>
    <n v="118246438"/>
    <n v="0"/>
    <n v="5"/>
    <n v="5"/>
    <n v="6"/>
  </r>
  <r>
    <n v="37616090"/>
    <n v="130"/>
    <n v="9701"/>
    <x v="43"/>
    <s v="YENNY MARCELA ORDUZ RUSSO"/>
    <s v="NORMAL"/>
    <x v="6"/>
    <n v="82"/>
    <n v="1"/>
    <n v="8"/>
    <n v="3"/>
    <n v="3075000"/>
    <n v="26900000"/>
    <n v="0"/>
    <n v="28087572"/>
    <n v="0"/>
    <n v="1"/>
    <n v="9"/>
    <n v="1"/>
  </r>
  <r>
    <n v="74374120"/>
    <n v="688"/>
    <n v="9108"/>
    <x v="70"/>
    <s v="JAIME YOVANNY MANOSALVA RODRIGUEZ"/>
    <s v="NORMAL"/>
    <x v="1"/>
    <n v="0"/>
    <n v="0"/>
    <n v="0"/>
    <n v="0"/>
    <n v="0"/>
    <n v="0"/>
    <n v="0"/>
    <n v="0"/>
    <n v="0"/>
    <n v="0"/>
    <n v="0"/>
    <n v="0"/>
  </r>
  <r>
    <n v="1094879531"/>
    <n v="228"/>
    <n v="20045"/>
    <x v="2"/>
    <s v="JORGE MARIO AGUIRRE DOMINGUEZ"/>
    <s v="NORMAL"/>
    <x v="2"/>
    <n v="74"/>
    <n v="3"/>
    <n v="20"/>
    <n v="3"/>
    <n v="9470000"/>
    <n v="107400000"/>
    <n v="40000000"/>
    <n v="80495748"/>
    <n v="0"/>
    <n v="4"/>
    <n v="11"/>
    <n v="11"/>
  </r>
  <r>
    <n v="1010207855"/>
    <n v="14"/>
    <n v="9869"/>
    <x v="89"/>
    <s v="JUANITA GUERRERO CHAVEZ"/>
    <s v="NORMAL"/>
    <x v="3"/>
    <n v="67"/>
    <n v="1"/>
    <n v="12"/>
    <n v="3"/>
    <n v="5903400.666666667"/>
    <n v="89589819.370000005"/>
    <n v="4235513.92"/>
    <n v="41939376"/>
    <n v="0"/>
    <n v="0"/>
    <n v="13"/>
    <n v="28"/>
  </r>
  <r>
    <n v="1040732617"/>
    <n v="190"/>
    <n v="38529"/>
    <x v="142"/>
    <s v="NESTOR JULIAN MORALES"/>
    <s v="NORMAL"/>
    <x v="7"/>
    <n v="31"/>
    <n v="0"/>
    <n v="5"/>
    <n v="2"/>
    <n v="6652000"/>
    <n v="6000000"/>
    <n v="0"/>
    <n v="58255283"/>
    <n v="0"/>
    <n v="4"/>
    <n v="4"/>
    <n v="4"/>
  </r>
  <r>
    <n v="1020754373"/>
    <n v="18"/>
    <n v="37131"/>
    <x v="115"/>
    <s v="HERNANDEZ GARCIA, CARLOS ANDRES"/>
    <s v="NORMAL"/>
    <x v="3"/>
    <n v="77"/>
    <n v="3"/>
    <n v="10"/>
    <n v="2"/>
    <n v="4305000"/>
    <n v="30000000"/>
    <n v="0"/>
    <n v="30590000"/>
    <n v="0"/>
    <n v="2"/>
    <n v="7"/>
    <n v="1"/>
  </r>
  <r>
    <n v="1143839146"/>
    <n v="149"/>
    <n v="9931"/>
    <x v="166"/>
    <s v="ALEXANDRA VALENCIA"/>
    <s v="NORMAL"/>
    <x v="8"/>
    <n v="73"/>
    <n v="6"/>
    <n v="13"/>
    <n v="5"/>
    <n v="12912850.916666666"/>
    <n v="244800000"/>
    <n v="0"/>
    <n v="97403400"/>
    <n v="0"/>
    <n v="6"/>
    <n v="14"/>
    <n v="13"/>
  </r>
  <r>
    <n v="1023925105"/>
    <n v="46"/>
    <n v="37823"/>
    <x v="139"/>
    <s v="GUTIERREZ BAQUERO, MARIA ALEJANDRA"/>
    <s v="NORMAL"/>
    <x v="3"/>
    <n v="65"/>
    <n v="5"/>
    <n v="12"/>
    <n v="12"/>
    <n v="615000"/>
    <n v="108700000"/>
    <n v="0"/>
    <n v="93017458"/>
    <n v="0"/>
    <n v="0"/>
    <n v="10"/>
    <n v="0"/>
  </r>
  <r>
    <n v="94501508"/>
    <n v="587"/>
    <n v="8173"/>
    <x v="167"/>
    <s v="RAUL JARAMILLO"/>
    <s v="NORMAL"/>
    <x v="8"/>
    <n v="70"/>
    <n v="6"/>
    <n v="13"/>
    <n v="2"/>
    <n v="7010000"/>
    <n v="179574507.84999999"/>
    <n v="69500000"/>
    <n v="46035219"/>
    <n v="0"/>
    <n v="5"/>
    <n v="9"/>
    <n v="5"/>
  </r>
  <r>
    <n v="27604620"/>
    <n v="33"/>
    <n v="30994"/>
    <x v="23"/>
    <s v="ADRIANA FERRER DUEÐAS"/>
    <s v="NORMAL"/>
    <x v="5"/>
    <n v="83"/>
    <n v="3"/>
    <n v="16"/>
    <n v="4"/>
    <n v="7607500"/>
    <n v="84320000"/>
    <n v="64000000"/>
    <n v="41356845"/>
    <n v="0"/>
    <n v="6"/>
    <n v="17"/>
    <n v="19"/>
  </r>
  <r>
    <n v="1020775280"/>
    <n v="634"/>
    <n v="9796"/>
    <x v="60"/>
    <s v="ANDRES EDUARDO ROMERO SANCHEZ"/>
    <s v="ADICIONAL"/>
    <x v="5"/>
    <n v="62"/>
    <n v="2"/>
    <n v="5"/>
    <n v="0"/>
    <n v="2645000"/>
    <n v="50000000"/>
    <n v="0"/>
    <n v="9142400"/>
    <n v="0"/>
    <n v="3"/>
    <n v="0"/>
    <n v="0"/>
  </r>
  <r>
    <n v="1030526284"/>
    <n v="467"/>
    <n v="9744"/>
    <x v="135"/>
    <s v="DIEGO ISRAEL RAMOS SANTANA"/>
    <s v="NORMAL"/>
    <x v="1"/>
    <n v="50"/>
    <n v="1"/>
    <n v="12"/>
    <n v="6"/>
    <n v="4675000"/>
    <n v="92200000"/>
    <n v="0"/>
    <n v="59772206"/>
    <n v="0"/>
    <n v="0"/>
    <n v="10"/>
    <n v="3"/>
  </r>
  <r>
    <n v="1057590731"/>
    <n v="695"/>
    <n v="31375"/>
    <x v="109"/>
    <s v="CAMILA MERCEDES RODRIGUEZ TORRES"/>
    <s v="NORMAL"/>
    <x v="6"/>
    <n v="41"/>
    <n v="1"/>
    <n v="7"/>
    <n v="11"/>
    <n v="7995000"/>
    <n v="144200000"/>
    <n v="22552525.240000002"/>
    <n v="110224323"/>
    <n v="9590000"/>
    <n v="5"/>
    <n v="6"/>
    <n v="6"/>
  </r>
  <r>
    <n v="1030541637"/>
    <n v="25"/>
    <n v="9535"/>
    <x v="53"/>
    <s v="MICHAEL E. MONTENEGRO"/>
    <s v="NORMAL"/>
    <x v="5"/>
    <n v="98"/>
    <n v="5"/>
    <n v="9"/>
    <n v="8"/>
    <n v="11070000"/>
    <n v="109900000"/>
    <n v="0"/>
    <n v="146098000"/>
    <n v="0"/>
    <n v="2"/>
    <n v="1"/>
    <n v="2"/>
  </r>
  <r>
    <n v="55304355"/>
    <n v="101"/>
    <n v="9271"/>
    <x v="44"/>
    <s v="MILENA PATRICIA ROJAS MERCADO"/>
    <s v="NORMAL"/>
    <x v="4"/>
    <n v="51"/>
    <n v="1"/>
    <n v="5"/>
    <n v="2"/>
    <n v="1845000"/>
    <n v="17000000"/>
    <n v="21018248.009999998"/>
    <n v="38807087"/>
    <n v="0"/>
    <n v="2"/>
    <n v="12"/>
    <n v="2"/>
  </r>
  <r>
    <n v="52282393"/>
    <n v="73"/>
    <n v="20772"/>
    <x v="1"/>
    <s v="CLEDY YANIRA NIETO"/>
    <s v="NORMAL"/>
    <x v="1"/>
    <n v="66"/>
    <n v="13"/>
    <n v="11"/>
    <n v="5"/>
    <n v="4138000"/>
    <n v="35000000"/>
    <n v="31326504.469999999"/>
    <n v="89216623"/>
    <n v="0"/>
    <n v="7"/>
    <n v="5"/>
    <n v="14"/>
  </r>
  <r>
    <n v="1130681417"/>
    <n v="145"/>
    <n v="9978"/>
    <x v="168"/>
    <s v="ALEJANDRA QUINTERO"/>
    <s v="NORMAL"/>
    <x v="8"/>
    <n v="132"/>
    <n v="8"/>
    <n v="21"/>
    <n v="4"/>
    <n v="1660000"/>
    <n v="36000000"/>
    <n v="0"/>
    <n v="161799883"/>
    <n v="0"/>
    <n v="3"/>
    <n v="6"/>
    <n v="4"/>
  </r>
  <r>
    <n v="1072426927"/>
    <n v="66"/>
    <n v="38209"/>
    <x v="105"/>
    <s v="EDGAR ANDRES SANCHEZ CONTRERAS"/>
    <s v="NORMAL"/>
    <x v="1"/>
    <n v="71"/>
    <n v="1"/>
    <n v="9"/>
    <n v="1"/>
    <n v="5720000"/>
    <n v="76000000"/>
    <n v="20000000"/>
    <n v="42464000"/>
    <n v="0"/>
    <n v="3"/>
    <n v="18"/>
    <n v="10"/>
  </r>
  <r>
    <n v="1005148916"/>
    <n v="130"/>
    <n v="36606"/>
    <x v="43"/>
    <s v="MARY ZURLEY SANTAMARIA BARBOSA"/>
    <s v="NORMAL"/>
    <x v="6"/>
    <n v="72"/>
    <n v="5"/>
    <n v="12"/>
    <n v="4"/>
    <n v="4245000"/>
    <n v="29700000"/>
    <n v="16000000"/>
    <n v="17039000"/>
    <n v="0"/>
    <n v="2"/>
    <n v="11"/>
    <n v="5"/>
  </r>
  <r>
    <n v="1130617338"/>
    <n v="158"/>
    <n v="9240"/>
    <x v="93"/>
    <s v="DIANA RESTREPO MONTES"/>
    <s v="NORMAL"/>
    <x v="8"/>
    <n v="11"/>
    <n v="1"/>
    <n v="4"/>
    <n v="3"/>
    <n v="3075000"/>
    <n v="103000000"/>
    <n v="13000000"/>
    <n v="23122670"/>
    <n v="0"/>
    <n v="4"/>
    <n v="4"/>
    <n v="4"/>
  </r>
  <r>
    <n v="1144052933"/>
    <n v="471"/>
    <n v="36918"/>
    <x v="169"/>
    <s v="NATHALIA GONZALEZ"/>
    <s v="NORMAL"/>
    <x v="8"/>
    <n v="70"/>
    <n v="0"/>
    <n v="12"/>
    <n v="0"/>
    <n v="6335000"/>
    <n v="61000000"/>
    <n v="27496151.43"/>
    <n v="173654703"/>
    <n v="0"/>
    <n v="4"/>
    <n v="8"/>
    <n v="5"/>
  </r>
  <r>
    <n v="1151948923"/>
    <n v="149"/>
    <n v="37824"/>
    <x v="166"/>
    <s v="ALEJANDRO MALLA"/>
    <s v="NORMAL"/>
    <x v="8"/>
    <n v="19"/>
    <n v="0"/>
    <n v="5"/>
    <n v="3"/>
    <n v="2460000"/>
    <n v="30000000"/>
    <n v="0"/>
    <n v="116783698"/>
    <n v="0"/>
    <n v="1"/>
    <n v="1"/>
    <n v="1"/>
  </r>
  <r>
    <n v="1018459690"/>
    <n v="24"/>
    <n v="9984"/>
    <x v="104"/>
    <s v="DIANA ALEJANDRA ECHEVERY MARTINEZ"/>
    <s v="NORMAL"/>
    <x v="5"/>
    <n v="64"/>
    <n v="3"/>
    <n v="13"/>
    <n v="2"/>
    <n v="6910874"/>
    <n v="91978996.049999997"/>
    <n v="0"/>
    <n v="55833525"/>
    <n v="0"/>
    <n v="8"/>
    <n v="4"/>
    <n v="2"/>
  </r>
  <r>
    <n v="1088292705"/>
    <n v="696"/>
    <n v="33664"/>
    <x v="163"/>
    <s v="ERIKA VELEZ CANO"/>
    <s v="NORMAL"/>
    <x v="2"/>
    <n v="70"/>
    <n v="4"/>
    <n v="13"/>
    <n v="4"/>
    <n v="12255315.833333334"/>
    <n v="109995454.09"/>
    <n v="0"/>
    <n v="88945800"/>
    <n v="0"/>
    <n v="6"/>
    <n v="10"/>
    <n v="9"/>
  </r>
  <r>
    <n v="1143856254"/>
    <n v="595"/>
    <n v="9163"/>
    <x v="74"/>
    <s v="STEFANIA ALMARIO"/>
    <s v="NORMAL"/>
    <x v="8"/>
    <n v="72"/>
    <n v="3"/>
    <n v="4"/>
    <n v="3"/>
    <n v="9040000"/>
    <n v="80000000"/>
    <n v="0"/>
    <n v="114860379"/>
    <n v="0"/>
    <n v="6"/>
    <n v="8"/>
    <n v="12"/>
  </r>
  <r>
    <n v="80135347"/>
    <n v="587"/>
    <n v="36915"/>
    <x v="167"/>
    <s v="CRISTHIAN NAVARRO"/>
    <s v="NORMAL"/>
    <x v="8"/>
    <n v="54"/>
    <n v="2"/>
    <n v="12"/>
    <n v="0"/>
    <n v="9780000"/>
    <n v="111370771.34"/>
    <n v="63584398.170000002"/>
    <n v="49903000"/>
    <n v="0"/>
    <n v="4"/>
    <n v="4"/>
    <n v="4"/>
  </r>
  <r>
    <n v="1064989604"/>
    <n v="928"/>
    <n v="38554"/>
    <x v="46"/>
    <s v="LILIAN GREY GUERRA"/>
    <s v="NORMAL"/>
    <x v="7"/>
    <n v="59"/>
    <n v="1"/>
    <n v="2"/>
    <n v="0"/>
    <n v="1266000"/>
    <n v="43640000"/>
    <n v="0"/>
    <n v="22143228"/>
    <n v="0"/>
    <n v="0"/>
    <n v="5"/>
    <n v="5"/>
  </r>
  <r>
    <n v="1140836571"/>
    <n v="109"/>
    <n v="37938"/>
    <x v="88"/>
    <s v="ISAURA MARGARITA MARQUEZ ALARCON"/>
    <s v="NORMAL"/>
    <x v="4"/>
    <n v="25"/>
    <n v="5"/>
    <n v="10"/>
    <n v="3"/>
    <n v="185000"/>
    <n v="1981022.83"/>
    <n v="0"/>
    <n v="39903596"/>
    <n v="0"/>
    <n v="2"/>
    <n v="8"/>
    <n v="7"/>
  </r>
  <r>
    <n v="1225092537"/>
    <n v="208"/>
    <n v="38751"/>
    <x v="9"/>
    <s v="VERONICA ANDREA JARAMILLO VELEZ"/>
    <s v="ADICIONAL"/>
    <x v="2"/>
    <n v="45"/>
    <n v="2"/>
    <n v="6"/>
    <n v="5"/>
    <n v="2293000"/>
    <n v="55350699"/>
    <n v="0"/>
    <n v="57939359"/>
    <n v="32799999.999999996"/>
    <n v="1"/>
    <n v="10"/>
    <n v="1"/>
  </r>
  <r>
    <n v="1144142801"/>
    <n v="595"/>
    <n v="9164"/>
    <x v="74"/>
    <s v="GINA TACAN"/>
    <s v="NORMAL"/>
    <x v="8"/>
    <n v="83"/>
    <n v="7"/>
    <n v="7"/>
    <n v="1"/>
    <n v="7121868.25"/>
    <n v="77580500"/>
    <n v="0"/>
    <n v="86624865"/>
    <n v="0"/>
    <n v="4"/>
    <n v="5"/>
    <n v="23"/>
  </r>
  <r>
    <n v="1047383884"/>
    <n v="798"/>
    <n v="36348"/>
    <x v="149"/>
    <s v="JEFERSON MARTINEZ PUCHE"/>
    <s v="NORMAL"/>
    <x v="4"/>
    <n v="77"/>
    <n v="2"/>
    <n v="16"/>
    <n v="1"/>
    <n v="3690000"/>
    <n v="0"/>
    <n v="25000000"/>
    <n v="21288476"/>
    <n v="0"/>
    <n v="4"/>
    <n v="11"/>
    <n v="15"/>
  </r>
  <r>
    <n v="1015408311"/>
    <n v="24"/>
    <n v="9989"/>
    <x v="104"/>
    <s v="CRISTIAN DAVID RAMIREZ CARMONA"/>
    <s v="NORMAL"/>
    <x v="5"/>
    <n v="54"/>
    <n v="6"/>
    <n v="12"/>
    <n v="2"/>
    <n v="4430000"/>
    <n v="96800000"/>
    <n v="17938782.859999999"/>
    <n v="46734299"/>
    <n v="0"/>
    <n v="7"/>
    <n v="7"/>
    <n v="7"/>
  </r>
  <r>
    <n v="1071164818"/>
    <n v="11"/>
    <n v="36443"/>
    <x v="37"/>
    <s v="DARLA E. CRUZ"/>
    <s v="NORMAL"/>
    <x v="0"/>
    <n v="39"/>
    <n v="1"/>
    <n v="3"/>
    <n v="1"/>
    <n v="1845000"/>
    <n v="45700000"/>
    <n v="0"/>
    <n v="37050733"/>
    <n v="0"/>
    <n v="1"/>
    <n v="6"/>
    <n v="6"/>
  </r>
  <r>
    <n v="1022377076"/>
    <n v="757"/>
    <n v="9809"/>
    <x v="150"/>
    <s v="NATHALIA CASTAÐEDA"/>
    <s v="NORMAL"/>
    <x v="3"/>
    <n v="74"/>
    <n v="1"/>
    <n v="4"/>
    <n v="1"/>
    <n v="1825988"/>
    <n v="26500000"/>
    <n v="0"/>
    <n v="17351196"/>
    <n v="0"/>
    <n v="1"/>
    <n v="2"/>
    <n v="1"/>
  </r>
  <r>
    <n v="1098703717"/>
    <n v="278"/>
    <n v="37159"/>
    <x v="22"/>
    <s v="ANDREA DEL PILAR GAMARRA ORDOÐEZ"/>
    <s v="NORMAL"/>
    <x v="6"/>
    <n v="82"/>
    <n v="1"/>
    <n v="9"/>
    <n v="3"/>
    <n v="3093000"/>
    <n v="90000000"/>
    <n v="20000000"/>
    <n v="71477090"/>
    <n v="0"/>
    <n v="2"/>
    <n v="5"/>
    <n v="5"/>
  </r>
  <r>
    <n v="1143358107"/>
    <n v="798"/>
    <n v="20828"/>
    <x v="149"/>
    <s v="GRACE GUTIERREZ MORAN"/>
    <s v="NORMAL"/>
    <x v="4"/>
    <n v="126"/>
    <n v="1"/>
    <n v="14"/>
    <n v="1"/>
    <n v="3075000"/>
    <n v="57314169"/>
    <n v="0"/>
    <n v="49583000"/>
    <n v="0"/>
    <n v="1"/>
    <n v="16"/>
    <n v="16"/>
  </r>
  <r>
    <n v="1098408083"/>
    <n v="871"/>
    <n v="38205"/>
    <x v="130"/>
    <s v="ZULAY KATERINE QUINTERO RANGEL"/>
    <s v="NORMAL"/>
    <x v="6"/>
    <n v="77"/>
    <n v="0"/>
    <n v="10"/>
    <n v="5"/>
    <n v="4060000"/>
    <n v="6500000"/>
    <n v="0"/>
    <n v="96857490"/>
    <n v="0"/>
    <n v="1"/>
    <n v="2"/>
    <n v="0"/>
  </r>
  <r>
    <n v="1064998594"/>
    <n v="191"/>
    <n v="31177"/>
    <x v="124"/>
    <s v="CARMEN CECILIA SUAREZ"/>
    <s v="NORMAL"/>
    <x v="7"/>
    <n v="96"/>
    <n v="6"/>
    <n v="12"/>
    <n v="0"/>
    <n v="8855000"/>
    <n v="132579615.88000001"/>
    <n v="15000000"/>
    <n v="5466489"/>
    <n v="0"/>
    <n v="5"/>
    <n v="10"/>
    <n v="10"/>
  </r>
  <r>
    <n v="53121278"/>
    <n v="700"/>
    <n v="8299"/>
    <x v="123"/>
    <s v="LUISA FERNANDA MESA GONZALEZ"/>
    <s v="NORMAL"/>
    <x v="5"/>
    <n v="69"/>
    <n v="4"/>
    <n v="12"/>
    <n v="14"/>
    <n v="2769704.166666667"/>
    <n v="101400000"/>
    <n v="4068002.1700000013"/>
    <n v="125569823"/>
    <n v="0"/>
    <n v="0"/>
    <n v="8"/>
    <n v="9"/>
  </r>
  <r>
    <n v="1030576138"/>
    <n v="37"/>
    <n v="9269"/>
    <x v="138"/>
    <s v="ANNY YESENIA GOMEZ MONTAÐO"/>
    <s v="NORMAL"/>
    <x v="5"/>
    <n v="62"/>
    <n v="4"/>
    <n v="11"/>
    <n v="3"/>
    <n v="8425000"/>
    <n v="129500000"/>
    <n v="0"/>
    <n v="137210185"/>
    <n v="0"/>
    <n v="2"/>
    <n v="9"/>
    <n v="23"/>
  </r>
  <r>
    <n v="63549086"/>
    <n v="133"/>
    <n v="9124"/>
    <x v="119"/>
    <s v="KELLY PAOLA BLANCO ORTIZ"/>
    <s v="NORMAL"/>
    <x v="6"/>
    <n v="53"/>
    <n v="4"/>
    <n v="9"/>
    <n v="3"/>
    <n v="7380000"/>
    <n v="122750000"/>
    <n v="83000000"/>
    <n v="84941000"/>
    <n v="0"/>
    <n v="2"/>
    <n v="7"/>
    <n v="4"/>
  </r>
  <r>
    <n v="1096223839"/>
    <n v="918"/>
    <n v="38679"/>
    <x v="170"/>
    <s v="YORDY FABIAN TOSCANO RAMOS"/>
    <s v="NORMAL"/>
    <x v="6"/>
    <n v="61"/>
    <n v="0"/>
    <n v="3"/>
    <n v="0"/>
    <n v="1230000"/>
    <n v="0"/>
    <n v="0"/>
    <n v="45279000"/>
    <n v="0"/>
    <n v="0"/>
    <n v="4"/>
    <n v="0"/>
  </r>
  <r>
    <n v="29681212"/>
    <n v="159"/>
    <n v="9503"/>
    <x v="148"/>
    <s v="LUZ FDA GONZALEZ"/>
    <s v="NORMAL"/>
    <x v="8"/>
    <n v="80"/>
    <n v="9"/>
    <n v="13"/>
    <n v="1"/>
    <n v="2448750"/>
    <n v="63700000"/>
    <n v="0"/>
    <n v="50981463"/>
    <n v="0"/>
    <n v="3"/>
    <n v="4"/>
    <n v="3"/>
  </r>
  <r>
    <n v="53000345"/>
    <n v="11"/>
    <n v="9850"/>
    <x v="37"/>
    <s v="OLGA BEATRIZ RUBIANO C"/>
    <s v="NORMAL"/>
    <x v="0"/>
    <n v="62"/>
    <n v="0"/>
    <n v="16"/>
    <n v="2"/>
    <n v="9160500"/>
    <n v="71000000"/>
    <n v="17000000"/>
    <n v="104808200"/>
    <n v="0"/>
    <n v="7"/>
    <n v="9"/>
    <n v="9"/>
  </r>
  <r>
    <n v="66859870"/>
    <n v="150"/>
    <n v="8241"/>
    <x v="162"/>
    <s v="CLAUDIA RINCON"/>
    <s v="NORMAL"/>
    <x v="8"/>
    <n v="64"/>
    <n v="12"/>
    <n v="15"/>
    <n v="2"/>
    <n v="3690000"/>
    <n v="28711675"/>
    <n v="19000000"/>
    <n v="86495884"/>
    <n v="0"/>
    <n v="3"/>
    <n v="13"/>
    <n v="11"/>
  </r>
  <r>
    <n v="1043001415"/>
    <n v="874"/>
    <n v="9772"/>
    <x v="107"/>
    <s v="GREIS PAOLA CERVANTSE MEZA"/>
    <s v="NORMAL"/>
    <x v="4"/>
    <n v="55"/>
    <n v="9"/>
    <n v="15"/>
    <n v="3"/>
    <n v="6395000"/>
    <n v="0"/>
    <n v="0"/>
    <n v="38021922"/>
    <n v="0"/>
    <n v="4"/>
    <n v="7"/>
    <n v="4"/>
  </r>
  <r>
    <n v="49720783"/>
    <n v="698"/>
    <n v="8916"/>
    <x v="86"/>
    <s v="NINI JOHANA HERRERA GOMEZ"/>
    <s v="NORMAL"/>
    <x v="4"/>
    <n v="54"/>
    <n v="2"/>
    <n v="11"/>
    <n v="3"/>
    <n v="8015000"/>
    <n v="107700000"/>
    <n v="0"/>
    <n v="47122000"/>
    <n v="0"/>
    <n v="6"/>
    <n v="6"/>
    <n v="4"/>
  </r>
  <r>
    <n v="1088008100"/>
    <n v="206"/>
    <n v="30907"/>
    <x v="24"/>
    <s v="PIÐEROS MORENO DINA STEFANY"/>
    <s v="NORMAL"/>
    <x v="2"/>
    <n v="100"/>
    <n v="7"/>
    <n v="13"/>
    <n v="6"/>
    <n v="12505000"/>
    <n v="121500000"/>
    <n v="0"/>
    <n v="49700000"/>
    <n v="0"/>
    <n v="9"/>
    <n v="13"/>
    <n v="9"/>
  </r>
  <r>
    <n v="1088303587"/>
    <n v="201"/>
    <n v="9442"/>
    <x v="11"/>
    <s v="CASTRILLON RUIZ JUAN DAVID"/>
    <s v="NORMAL"/>
    <x v="2"/>
    <n v="49"/>
    <n v="1"/>
    <n v="13"/>
    <n v="13"/>
    <n v="9428000"/>
    <n v="109200000"/>
    <n v="21000000"/>
    <n v="57534935"/>
    <n v="0"/>
    <n v="8"/>
    <n v="14"/>
    <n v="15"/>
  </r>
  <r>
    <n v="53168083"/>
    <n v="3"/>
    <n v="38820"/>
    <x v="36"/>
    <s v="KAREN CRISTANCHO"/>
    <s v="NORMAL"/>
    <x v="3"/>
    <n v="36"/>
    <n v="2"/>
    <n v="8"/>
    <n v="0"/>
    <n v="615000"/>
    <n v="0"/>
    <n v="20000000"/>
    <n v="9179000"/>
    <n v="0"/>
    <n v="0"/>
    <n v="3"/>
    <n v="1"/>
  </r>
  <r>
    <n v="49762724"/>
    <n v="123"/>
    <n v="8328"/>
    <x v="151"/>
    <s v="JENIFER LUISA ANDRADE"/>
    <s v="NORMAL"/>
    <x v="4"/>
    <n v="68"/>
    <n v="1"/>
    <n v="5"/>
    <n v="0"/>
    <n v="0"/>
    <n v="0"/>
    <n v="0"/>
    <n v="4006285"/>
    <n v="0"/>
    <n v="0"/>
    <n v="6"/>
    <n v="4"/>
  </r>
  <r>
    <n v="59826204"/>
    <n v="715"/>
    <n v="8234"/>
    <x v="171"/>
    <s v="SARA GARCIA"/>
    <s v="NORMAL"/>
    <x v="8"/>
    <n v="69"/>
    <n v="5"/>
    <n v="7"/>
    <n v="5"/>
    <n v="12449000"/>
    <n v="250035000"/>
    <n v="0"/>
    <n v="184686052"/>
    <n v="0"/>
    <n v="7"/>
    <n v="11"/>
    <n v="10"/>
  </r>
  <r>
    <n v="43526336"/>
    <n v="176"/>
    <n v="9149"/>
    <x v="87"/>
    <s v="GLORIA ADELAIDA BEDOYA OCAMPO"/>
    <s v="NORMAL"/>
    <x v="7"/>
    <n v="41"/>
    <n v="1"/>
    <n v="4"/>
    <n v="8"/>
    <n v="1230000"/>
    <n v="66200000"/>
    <n v="30000000"/>
    <n v="17397000"/>
    <n v="0"/>
    <n v="2"/>
    <n v="3"/>
    <n v="4"/>
  </r>
  <r>
    <n v="1144201555"/>
    <n v="152"/>
    <n v="38485"/>
    <x v="160"/>
    <s v="LAUREN ROJAS"/>
    <s v="NORMAL"/>
    <x v="8"/>
    <n v="204"/>
    <n v="2"/>
    <n v="6"/>
    <n v="0"/>
    <n v="1270000"/>
    <n v="10000000"/>
    <n v="52985343.600000001"/>
    <n v="10620000"/>
    <n v="0"/>
    <n v="0"/>
    <n v="1"/>
    <n v="0"/>
  </r>
  <r>
    <n v="1022324423"/>
    <n v="3"/>
    <n v="31169"/>
    <x v="36"/>
    <s v="HARRY W. RODRIGUEZ A."/>
    <s v="NORMAL"/>
    <x v="3"/>
    <n v="38"/>
    <n v="4"/>
    <n v="12"/>
    <n v="0"/>
    <n v="-61995.75"/>
    <n v="17600000"/>
    <n v="15000000"/>
    <n v="69564482"/>
    <n v="0"/>
    <n v="3"/>
    <n v="10"/>
    <n v="12"/>
  </r>
  <r>
    <n v="1140855334"/>
    <n v="107"/>
    <n v="10291"/>
    <x v="164"/>
    <s v="MARIA ANGELICA MONTERROSA HERNANDEZ"/>
    <s v="NORMAL"/>
    <x v="4"/>
    <n v="44"/>
    <n v="3"/>
    <n v="13"/>
    <n v="2"/>
    <n v="1947500"/>
    <n v="35000000"/>
    <n v="20000000"/>
    <n v="14957557"/>
    <n v="0"/>
    <n v="0"/>
    <n v="7"/>
    <n v="8"/>
  </r>
  <r>
    <n v="1098651364"/>
    <n v="918"/>
    <n v="9495"/>
    <x v="170"/>
    <s v="NATALIA ESPERANZA GOMEZ BARRERA"/>
    <s v="NORMAL"/>
    <x v="6"/>
    <n v="66"/>
    <n v="1"/>
    <n v="12"/>
    <n v="3"/>
    <n v="3075000"/>
    <n v="0"/>
    <n v="0"/>
    <n v="93882000"/>
    <n v="80000000"/>
    <n v="5"/>
    <n v="8"/>
    <n v="7"/>
  </r>
  <r>
    <n v="35198506"/>
    <n v="498"/>
    <n v="9337"/>
    <x v="156"/>
    <s v="YAMILE SALAZAR CARVAJAL"/>
    <s v="NORMAL"/>
    <x v="5"/>
    <n v="85"/>
    <n v="7"/>
    <n v="3"/>
    <n v="4"/>
    <n v="6825000"/>
    <n v="65829449.940000005"/>
    <n v="0"/>
    <n v="64298449"/>
    <n v="0"/>
    <n v="1"/>
    <n v="7"/>
    <n v="13"/>
  </r>
  <r>
    <n v="1108934001"/>
    <n v="897"/>
    <n v="38207"/>
    <x v="141"/>
    <s v="ROSA YINETH GUTIERREZ ALFONSO"/>
    <s v="NORMAL"/>
    <x v="1"/>
    <n v="47"/>
    <n v="6"/>
    <n v="14"/>
    <n v="6"/>
    <n v="5535495.833333333"/>
    <n v="84209777"/>
    <n v="40500000"/>
    <n v="51504623"/>
    <n v="0"/>
    <n v="8"/>
    <n v="13"/>
    <n v="8"/>
  </r>
  <r>
    <n v="1140837022"/>
    <n v="913"/>
    <n v="37902"/>
    <x v="49"/>
    <s v="ANDREA ALEXANDRA SEVILLA GOMEZ"/>
    <s v="NORMAL"/>
    <x v="4"/>
    <n v="7"/>
    <n v="0"/>
    <n v="3"/>
    <n v="0"/>
    <n v="2890000"/>
    <n v="27400000"/>
    <n v="0"/>
    <n v="11300000"/>
    <n v="0"/>
    <n v="0"/>
    <n v="0"/>
    <n v="2"/>
  </r>
  <r>
    <n v="1020770948"/>
    <n v="37"/>
    <n v="36371"/>
    <x v="138"/>
    <s v="YUDID ANDREA CRUZ GUTIERREZ"/>
    <s v="ADICIONAL"/>
    <x v="5"/>
    <n v="67"/>
    <n v="3"/>
    <n v="9"/>
    <n v="7"/>
    <n v="3690000"/>
    <n v="8700000"/>
    <n v="0"/>
    <n v="89497055"/>
    <n v="0"/>
    <n v="1"/>
    <n v="7"/>
    <n v="2"/>
  </r>
  <r>
    <n v="1032372097"/>
    <n v="67"/>
    <n v="38819"/>
    <x v="117"/>
    <s v="KARINA RIVERA ALVIS"/>
    <s v="NORMAL"/>
    <x v="1"/>
    <n v="28"/>
    <n v="0"/>
    <n v="5"/>
    <n v="0"/>
    <n v="0"/>
    <n v="30500000"/>
    <n v="0"/>
    <n v="7379571"/>
    <n v="0"/>
    <n v="0"/>
    <n v="0"/>
    <n v="1"/>
  </r>
  <r>
    <n v="1032399410"/>
    <n v="792"/>
    <n v="8309"/>
    <x v="20"/>
    <s v="ANGELICA CARVAJAL"/>
    <s v="ADICIONAL"/>
    <x v="0"/>
    <n v="24"/>
    <n v="0"/>
    <n v="5"/>
    <n v="0"/>
    <n v="1230000"/>
    <n v="20000000"/>
    <n v="0"/>
    <n v="22426692"/>
    <n v="0"/>
    <n v="2"/>
    <n v="3"/>
    <n v="1"/>
  </r>
  <r>
    <n v="1140851012"/>
    <n v="101"/>
    <n v="38311"/>
    <x v="44"/>
    <s v="KHYARA SARAY BARRANTES RODRIGUEZ"/>
    <s v="NORMAL"/>
    <x v="4"/>
    <n v="54"/>
    <n v="0"/>
    <n v="9"/>
    <n v="1"/>
    <n v="2385604.5"/>
    <n v="11200000"/>
    <n v="26000000"/>
    <n v="18640399"/>
    <n v="0"/>
    <n v="0"/>
    <n v="9"/>
    <n v="8"/>
  </r>
  <r>
    <n v="31435396"/>
    <n v="885"/>
    <n v="9987"/>
    <x v="47"/>
    <s v="DIANA GYSLENA GONZALEZ GALVIS"/>
    <s v="NORMAL"/>
    <x v="2"/>
    <n v="91"/>
    <n v="7"/>
    <n v="12"/>
    <n v="0"/>
    <n v="11745000"/>
    <n v="95800000"/>
    <n v="0"/>
    <n v="67893868"/>
    <n v="0"/>
    <n v="2"/>
    <n v="8"/>
    <n v="9"/>
  </r>
  <r>
    <n v="1055273054"/>
    <n v="757"/>
    <n v="37821"/>
    <x v="150"/>
    <s v="DIANA MARCELA HERNANDEZ"/>
    <s v="NORMAL"/>
    <x v="3"/>
    <n v="121"/>
    <n v="2"/>
    <n v="4"/>
    <n v="3"/>
    <n v="8120258"/>
    <n v="121478528.5"/>
    <n v="0"/>
    <n v="52540050"/>
    <n v="0"/>
    <n v="2"/>
    <n v="1"/>
    <n v="0"/>
  </r>
  <r>
    <n v="1014270719"/>
    <n v="196"/>
    <n v="36872"/>
    <x v="27"/>
    <s v="JHONATHAN ALEJANDRO GONZALEZ CANTOR"/>
    <s v="NORMAL"/>
    <x v="3"/>
    <n v="110"/>
    <n v="3"/>
    <n v="12"/>
    <n v="7"/>
    <n v="4647500"/>
    <n v="76200000"/>
    <n v="0"/>
    <n v="83869000"/>
    <n v="0"/>
    <n v="6"/>
    <n v="4"/>
    <n v="2"/>
  </r>
  <r>
    <n v="1014265855"/>
    <n v="48"/>
    <n v="38001"/>
    <x v="68"/>
    <s v="JUAN CAMILO SANCHES A"/>
    <s v="NORMAL"/>
    <x v="3"/>
    <n v="72"/>
    <n v="7"/>
    <n v="2"/>
    <n v="2"/>
    <n v="712780.83333333337"/>
    <n v="20000000"/>
    <n v="0"/>
    <n v="42326542"/>
    <n v="0"/>
    <n v="2"/>
    <n v="2"/>
    <n v="7"/>
  </r>
  <r>
    <n v="1031140758"/>
    <n v="46"/>
    <n v="38129"/>
    <x v="139"/>
    <s v="VALLECILLA YASNO, ERIKA JOHANNA"/>
    <s v="NORMAL"/>
    <x v="3"/>
    <n v="47"/>
    <n v="2"/>
    <n v="5"/>
    <n v="6"/>
    <n v="816463.91666666663"/>
    <n v="83400000"/>
    <n v="0"/>
    <n v="49860052"/>
    <n v="0"/>
    <n v="0"/>
    <n v="2"/>
    <n v="0"/>
  </r>
  <r>
    <n v="1013647534"/>
    <n v="48"/>
    <n v="38096"/>
    <x v="68"/>
    <s v="GARZON BERNATE, SARA ISABEL"/>
    <s v="ADICIONAL"/>
    <x v="3"/>
    <n v="37"/>
    <n v="1"/>
    <n v="5"/>
    <n v="1"/>
    <n v="0"/>
    <n v="0"/>
    <n v="0"/>
    <n v="40850215"/>
    <n v="0"/>
    <n v="0"/>
    <n v="2"/>
    <n v="1"/>
  </r>
  <r>
    <n v="80920929"/>
    <n v="3"/>
    <n v="38247"/>
    <x v="36"/>
    <s v="RODRIGUEZ CASTELLANOS, CARLOS"/>
    <s v="NORMAL"/>
    <x v="3"/>
    <n v="52"/>
    <n v="3"/>
    <n v="16"/>
    <n v="3"/>
    <n v="7101321.916666667"/>
    <n v="45300000"/>
    <n v="20005485.350000001"/>
    <n v="58848000"/>
    <n v="0"/>
    <n v="5"/>
    <n v="10"/>
    <n v="7"/>
  </r>
  <r>
    <n v="52969353"/>
    <n v="51"/>
    <n v="8807"/>
    <x v="97"/>
    <s v="DIANA CAROLINA JIMENEZ TORRES"/>
    <s v="NORMAL"/>
    <x v="0"/>
    <n v="63"/>
    <n v="2"/>
    <n v="14"/>
    <n v="9"/>
    <n v="7625000"/>
    <n v="63000000"/>
    <n v="0"/>
    <n v="90562299"/>
    <n v="0"/>
    <n v="0"/>
    <n v="12"/>
    <n v="6"/>
  </r>
  <r>
    <n v="1151947043"/>
    <n v="141"/>
    <n v="9845"/>
    <x v="32"/>
    <s v="LAURA GORDILLO"/>
    <s v="NORMAL"/>
    <x v="8"/>
    <n v="69"/>
    <n v="2"/>
    <n v="16"/>
    <n v="7"/>
    <n v="9572500"/>
    <n v="110751179.38"/>
    <n v="0"/>
    <n v="19455588"/>
    <n v="0"/>
    <n v="5"/>
    <n v="10"/>
    <n v="11"/>
  </r>
  <r>
    <n v="1130597421"/>
    <n v="145"/>
    <n v="36753"/>
    <x v="168"/>
    <s v="YINA MORA"/>
    <s v="NORMAL"/>
    <x v="8"/>
    <n v="59"/>
    <n v="2"/>
    <n v="15"/>
    <n v="2"/>
    <n v="3219610"/>
    <n v="97480000"/>
    <n v="0"/>
    <n v="110006719"/>
    <n v="0"/>
    <n v="7"/>
    <n v="8"/>
    <n v="6"/>
  </r>
  <r>
    <n v="1130612571"/>
    <n v="145"/>
    <n v="36724"/>
    <x v="168"/>
    <s v="CAROLINA LUNA"/>
    <s v="NORMAL"/>
    <x v="8"/>
    <n v="84"/>
    <n v="6"/>
    <n v="12"/>
    <n v="1"/>
    <n v="3690000"/>
    <n v="38300000"/>
    <n v="0"/>
    <n v="89389413"/>
    <n v="0"/>
    <n v="3"/>
    <n v="3"/>
    <n v="6"/>
  </r>
  <r>
    <n v="1022981259"/>
    <n v="69"/>
    <n v="9581"/>
    <x v="5"/>
    <s v="ANGIE JULIETH ALFARO MORA"/>
    <s v="NORMAL"/>
    <x v="1"/>
    <n v="87"/>
    <n v="2"/>
    <n v="16"/>
    <n v="4"/>
    <n v="1457500"/>
    <n v="69100000"/>
    <n v="15300000"/>
    <n v="25430000"/>
    <n v="0"/>
    <n v="2"/>
    <n v="9"/>
    <n v="9"/>
  </r>
  <r>
    <n v="1069584339"/>
    <n v="156"/>
    <n v="35995"/>
    <x v="51"/>
    <s v="ANDRES MAURICIO ARIAS M."/>
    <s v="ADICIONAL"/>
    <x v="1"/>
    <n v="63"/>
    <n v="2"/>
    <n v="7"/>
    <n v="3"/>
    <n v="3197500"/>
    <n v="23000000"/>
    <n v="0"/>
    <n v="17419201"/>
    <n v="0"/>
    <n v="1"/>
    <n v="2"/>
    <n v="4"/>
  </r>
  <r>
    <n v="1037606667"/>
    <n v="684"/>
    <n v="37396"/>
    <x v="129"/>
    <s v="DANIEL MONTOYA"/>
    <s v="NORMAL"/>
    <x v="7"/>
    <n v="55"/>
    <n v="3"/>
    <n v="18"/>
    <n v="4"/>
    <n v="4532000"/>
    <n v="70900000"/>
    <n v="0"/>
    <n v="78046233"/>
    <n v="0"/>
    <n v="6"/>
    <n v="5"/>
    <n v="6"/>
  </r>
  <r>
    <n v="1152204752"/>
    <n v="171"/>
    <n v="36313"/>
    <x v="18"/>
    <s v="LUISA HENAO"/>
    <s v="ADICIONAL"/>
    <x v="7"/>
    <n v="28"/>
    <n v="3"/>
    <n v="1"/>
    <n v="1"/>
    <n v="1635833.3333333333"/>
    <n v="73710000"/>
    <n v="0"/>
    <n v="53345309"/>
    <n v="0"/>
    <n v="3"/>
    <n v="3"/>
    <n v="6"/>
  </r>
  <r>
    <n v="1032389982"/>
    <n v="21"/>
    <n v="9089"/>
    <x v="111"/>
    <s v="JUAN RICARDO GALVIS"/>
    <s v="NORMAL"/>
    <x v="0"/>
    <n v="109"/>
    <n v="0"/>
    <n v="11"/>
    <n v="1"/>
    <n v="5350000"/>
    <n v="27100000"/>
    <n v="5907923.4199999999"/>
    <n v="128346000"/>
    <n v="0"/>
    <n v="1"/>
    <n v="7"/>
    <n v="2"/>
  </r>
  <r>
    <n v="63552070"/>
    <n v="38"/>
    <n v="36929"/>
    <x v="143"/>
    <s v="DIANA PATRICIA FRANCO QUIROGA"/>
    <s v="NORMAL"/>
    <x v="6"/>
    <n v="34"/>
    <n v="3"/>
    <n v="4"/>
    <n v="10"/>
    <n v="6303965.5"/>
    <n v="22100000"/>
    <n v="0"/>
    <n v="78150453"/>
    <n v="0"/>
    <n v="1"/>
    <n v="6"/>
    <n v="7"/>
  </r>
  <r>
    <n v="1033749808"/>
    <n v="66"/>
    <n v="9652"/>
    <x v="105"/>
    <s v="NANCY QUITIAN"/>
    <s v="NORMAL"/>
    <x v="1"/>
    <n v="27"/>
    <n v="0"/>
    <n v="1"/>
    <n v="1"/>
    <n v="687244.83333333337"/>
    <n v="0"/>
    <n v="50700000"/>
    <n v="0"/>
    <n v="0"/>
    <n v="1"/>
    <n v="9"/>
    <n v="3"/>
  </r>
  <r>
    <n v="1010161953"/>
    <n v="923"/>
    <n v="9458"/>
    <x v="98"/>
    <s v="DIANA ROCIO CASTRO MOLINA"/>
    <s v="NORMAL"/>
    <x v="1"/>
    <n v="127"/>
    <n v="10"/>
    <n v="0"/>
    <n v="1"/>
    <n v="6082217.916666666"/>
    <n v="111200000"/>
    <n v="63000000"/>
    <n v="26489477"/>
    <n v="0"/>
    <n v="2"/>
    <n v="7"/>
    <n v="6"/>
  </r>
  <r>
    <n v="40334560"/>
    <n v="93"/>
    <n v="9579"/>
    <x v="118"/>
    <s v="KEIVIA YVONNE PAGOTTE ORTIZ"/>
    <s v="NORMAL"/>
    <x v="6"/>
    <n v="30"/>
    <n v="0"/>
    <n v="2"/>
    <n v="2"/>
    <n v="370000"/>
    <n v="0"/>
    <n v="0"/>
    <n v="16081227"/>
    <n v="0"/>
    <n v="0"/>
    <n v="0"/>
    <n v="0"/>
  </r>
  <r>
    <n v="1107064830"/>
    <n v="765"/>
    <n v="31377"/>
    <x v="54"/>
    <s v="ANDRES SARRIA"/>
    <s v="NORMAL"/>
    <x v="8"/>
    <n v="78"/>
    <n v="3"/>
    <n v="12"/>
    <n v="4"/>
    <n v="6819040.833333333"/>
    <n v="47370000"/>
    <n v="0"/>
    <n v="21107058"/>
    <n v="0"/>
    <n v="3"/>
    <n v="5"/>
    <n v="6"/>
  </r>
  <r>
    <n v="9295484"/>
    <n v="862"/>
    <n v="8663"/>
    <x v="7"/>
    <s v="JORGE VERGARA"/>
    <s v="NORMAL"/>
    <x v="4"/>
    <n v="126"/>
    <n v="3"/>
    <n v="6"/>
    <n v="1"/>
    <n v="6185705.5"/>
    <n v="87300000"/>
    <n v="31300000"/>
    <n v="73709525"/>
    <n v="0"/>
    <n v="0"/>
    <n v="6"/>
    <n v="9"/>
  </r>
  <r>
    <n v="53093283"/>
    <n v="51"/>
    <n v="9354"/>
    <x v="97"/>
    <s v="YULI VIVIANA BROCHERO"/>
    <s v="NORMAL"/>
    <x v="0"/>
    <n v="30"/>
    <n v="2"/>
    <n v="4"/>
    <n v="0"/>
    <n v="2460000"/>
    <n v="34000000"/>
    <n v="26500000"/>
    <n v="59503590"/>
    <n v="0"/>
    <n v="1"/>
    <n v="3"/>
    <n v="2"/>
  </r>
  <r>
    <n v="1144166407"/>
    <n v="586"/>
    <n v="37981"/>
    <x v="116"/>
    <s v="LEYDI LATORRE"/>
    <s v="NORMAL"/>
    <x v="8"/>
    <n v="53"/>
    <n v="7"/>
    <n v="6"/>
    <n v="0"/>
    <n v="1865000"/>
    <n v="68300000"/>
    <n v="0"/>
    <n v="63631800"/>
    <n v="0"/>
    <n v="2"/>
    <n v="4"/>
    <n v="10"/>
  </r>
  <r>
    <n v="1023890332"/>
    <n v="66"/>
    <n v="32893"/>
    <x v="105"/>
    <s v="JORGE EDUARDO RODRIGUEZ"/>
    <s v="NORMAL"/>
    <x v="1"/>
    <n v="63"/>
    <n v="4"/>
    <n v="3"/>
    <n v="2"/>
    <n v="8287828.916666667"/>
    <n v="3500000"/>
    <n v="42500000"/>
    <n v="47741754"/>
    <n v="0"/>
    <n v="6"/>
    <n v="15"/>
    <n v="15"/>
  </r>
  <r>
    <n v="1110503292"/>
    <n v="77"/>
    <n v="9754"/>
    <x v="165"/>
    <s v="LUIS A RAMIREZ CRUZ"/>
    <s v="NORMAL"/>
    <x v="1"/>
    <n v="59"/>
    <n v="2"/>
    <n v="13"/>
    <n v="3"/>
    <n v="6072959.75"/>
    <n v="72833710.450000003"/>
    <n v="0"/>
    <n v="62285460"/>
    <n v="0"/>
    <n v="6"/>
    <n v="5"/>
    <n v="7"/>
  </r>
  <r>
    <n v="1113634883"/>
    <n v="153"/>
    <n v="37549"/>
    <x v="172"/>
    <s v="ANDRES SERNA"/>
    <s v="NORMAL"/>
    <x v="8"/>
    <n v="43"/>
    <n v="2"/>
    <n v="15"/>
    <n v="2"/>
    <n v="4353376.666666667"/>
    <n v="124300000"/>
    <n v="0"/>
    <n v="89060634"/>
    <n v="0"/>
    <n v="7"/>
    <n v="10"/>
    <n v="5"/>
  </r>
  <r>
    <n v="1130672714"/>
    <n v="141"/>
    <n v="37314"/>
    <x v="32"/>
    <s v="ANA MARIA LIZCANO"/>
    <s v="NORMAL"/>
    <x v="8"/>
    <n v="50"/>
    <n v="3"/>
    <n v="7"/>
    <n v="4"/>
    <n v="1865000"/>
    <n v="-14000000"/>
    <n v="6500000"/>
    <n v="16409000"/>
    <n v="0"/>
    <n v="5"/>
    <n v="8"/>
    <n v="6"/>
  </r>
  <r>
    <n v="1088308878"/>
    <n v="202"/>
    <n v="36766"/>
    <x v="108"/>
    <s v="LAURA KATHERINE CONTRERAS OSORIO"/>
    <s v="NORMAL"/>
    <x v="2"/>
    <n v="67"/>
    <n v="7"/>
    <n v="17"/>
    <n v="9"/>
    <n v="11130000"/>
    <n v="95471369.430000007"/>
    <n v="41000000"/>
    <n v="91598137"/>
    <n v="0"/>
    <n v="7"/>
    <n v="11"/>
    <n v="9"/>
  </r>
  <r>
    <n v="1130670335"/>
    <n v="153"/>
    <n v="9851"/>
    <x v="172"/>
    <s v="MARIANA GOMEZ"/>
    <s v="NORMAL"/>
    <x v="8"/>
    <n v="43"/>
    <n v="2"/>
    <n v="8"/>
    <n v="0"/>
    <n v="3625307.75"/>
    <n v="53000000"/>
    <n v="0"/>
    <n v="40819851"/>
    <n v="0"/>
    <n v="2"/>
    <n v="3"/>
    <n v="2"/>
  </r>
  <r>
    <n v="37321903"/>
    <n v="121"/>
    <n v="8326"/>
    <x v="121"/>
    <s v="JACQUELINE POSADA VILA"/>
    <s v="NORMAL"/>
    <x v="4"/>
    <n v="0"/>
    <n v="0"/>
    <n v="0"/>
    <n v="0"/>
    <n v="0"/>
    <n v="0"/>
    <n v="0"/>
    <n v="0"/>
    <n v="0"/>
    <n v="0"/>
    <n v="0"/>
    <n v="0"/>
  </r>
  <r>
    <n v="1019088583"/>
    <n v="51"/>
    <n v="38234"/>
    <x v="97"/>
    <s v="JENNY ALEXANDRA CASAS MONROY"/>
    <s v="NORMAL"/>
    <x v="0"/>
    <n v="50"/>
    <n v="3"/>
    <n v="2"/>
    <n v="2"/>
    <n v="0"/>
    <n v="18100000"/>
    <n v="36000000"/>
    <n v="47253587"/>
    <n v="0"/>
    <n v="0"/>
    <n v="1"/>
    <n v="7"/>
  </r>
  <r>
    <n v="80807040"/>
    <n v="634"/>
    <n v="9196"/>
    <x v="60"/>
    <s v="ALBERTO GUTIERREZ G"/>
    <s v="NORMAL"/>
    <x v="5"/>
    <n v="85"/>
    <n v="9"/>
    <n v="12"/>
    <n v="2"/>
    <n v="5643125"/>
    <n v="83800000"/>
    <n v="0"/>
    <n v="83085000"/>
    <n v="0"/>
    <n v="0"/>
    <n v="10"/>
    <n v="2"/>
  </r>
  <r>
    <n v="80058124"/>
    <n v="757"/>
    <n v="9863"/>
    <x v="150"/>
    <s v="CAMILO ANDRES CASTRILLON MURILLO"/>
    <s v="NORMAL"/>
    <x v="3"/>
    <n v="74"/>
    <n v="1"/>
    <n v="8"/>
    <n v="6"/>
    <n v="1785000"/>
    <n v="50500000"/>
    <n v="14700000"/>
    <n v="59417965"/>
    <n v="0"/>
    <n v="1"/>
    <n v="3"/>
    <n v="2"/>
  </r>
  <r>
    <n v="52067261"/>
    <n v="37"/>
    <n v="9905"/>
    <x v="138"/>
    <s v="ADRIANA CARDENAS REYES"/>
    <s v="NORMAL"/>
    <x v="5"/>
    <n v="78"/>
    <n v="6"/>
    <n v="12"/>
    <n v="4"/>
    <n v="11029666.666666666"/>
    <n v="97600000"/>
    <n v="0"/>
    <n v="139130000"/>
    <n v="0"/>
    <n v="4"/>
    <n v="9"/>
    <n v="10"/>
  </r>
  <r>
    <n v="1088008856"/>
    <n v="206"/>
    <n v="37379"/>
    <x v="24"/>
    <s v="EVA MARIA MUÐOZ ARABIA"/>
    <s v="NORMAL"/>
    <x v="2"/>
    <n v="99"/>
    <n v="6"/>
    <n v="19"/>
    <n v="4"/>
    <n v="9349645.833333334"/>
    <n v="79300000"/>
    <n v="17000000"/>
    <n v="58564000"/>
    <n v="0"/>
    <n v="11"/>
    <n v="16"/>
    <n v="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5">
  <r>
    <n v="9375240"/>
    <x v="0"/>
    <n v="2"/>
    <n v="12"/>
    <n v="1"/>
    <n v="6150000"/>
    <n v="85000000"/>
    <x v="0"/>
    <n v="31588778"/>
    <n v="0"/>
    <n v="0"/>
    <n v="4"/>
    <n v="9"/>
    <x v="0"/>
  </r>
  <r>
    <n v="1023008416"/>
    <x v="1"/>
    <n v="6"/>
    <n v="16"/>
    <n v="10"/>
    <n v="9930000"/>
    <n v="91971593.650000006"/>
    <x v="1"/>
    <n v="75555084"/>
    <n v="0"/>
    <n v="6"/>
    <n v="16"/>
    <n v="5"/>
    <x v="1"/>
  </r>
  <r>
    <n v="41960913"/>
    <x v="2"/>
    <n v="3"/>
    <n v="10"/>
    <n v="0"/>
    <n v="8055000"/>
    <n v="80200000"/>
    <x v="2"/>
    <n v="81043832"/>
    <n v="0"/>
    <n v="9"/>
    <n v="9"/>
    <n v="10"/>
    <x v="2"/>
  </r>
  <r>
    <n v="1010229345"/>
    <x v="3"/>
    <n v="2"/>
    <n v="14"/>
    <n v="4"/>
    <n v="7995000"/>
    <n v="103851600"/>
    <x v="3"/>
    <n v="123733612"/>
    <n v="0"/>
    <n v="4"/>
    <n v="5"/>
    <n v="0"/>
    <x v="3"/>
  </r>
  <r>
    <n v="1054920307"/>
    <x v="4"/>
    <n v="3"/>
    <n v="15"/>
    <n v="5"/>
    <n v="7970833.333333333"/>
    <n v="75000000"/>
    <x v="4"/>
    <n v="69315000"/>
    <n v="0"/>
    <n v="5"/>
    <n v="10"/>
    <n v="8"/>
    <x v="2"/>
  </r>
  <r>
    <n v="1014256052"/>
    <x v="5"/>
    <n v="1"/>
    <n v="14"/>
    <n v="0"/>
    <n v="9216250"/>
    <n v="99900000"/>
    <x v="1"/>
    <n v="42452982"/>
    <n v="0"/>
    <n v="10"/>
    <n v="11"/>
    <n v="12"/>
    <x v="1"/>
  </r>
  <r>
    <n v="1140864201"/>
    <x v="6"/>
    <n v="1"/>
    <n v="10"/>
    <n v="0"/>
    <n v="3630000"/>
    <n v="30000000"/>
    <x v="1"/>
    <n v="56422000"/>
    <n v="0"/>
    <n v="3"/>
    <n v="14"/>
    <n v="20"/>
    <x v="4"/>
  </r>
  <r>
    <n v="1017126050"/>
    <x v="7"/>
    <n v="0"/>
    <n v="0"/>
    <n v="0"/>
    <n v="0"/>
    <n v="0"/>
    <x v="1"/>
    <n v="3426881"/>
    <n v="0"/>
    <n v="0"/>
    <n v="4"/>
    <n v="5"/>
    <x v="4"/>
  </r>
  <r>
    <n v="1075664031"/>
    <x v="8"/>
    <n v="1"/>
    <n v="16"/>
    <n v="2"/>
    <n v="8425000"/>
    <n v="155105226.19"/>
    <x v="5"/>
    <n v="69080527"/>
    <n v="0"/>
    <n v="2"/>
    <n v="7"/>
    <n v="1"/>
    <x v="5"/>
  </r>
  <r>
    <n v="1088267234"/>
    <x v="9"/>
    <n v="3"/>
    <n v="12"/>
    <n v="7"/>
    <n v="1970000"/>
    <n v="80200000"/>
    <x v="1"/>
    <n v="140672641"/>
    <n v="0"/>
    <n v="3"/>
    <n v="4"/>
    <n v="3"/>
    <x v="2"/>
  </r>
  <r>
    <n v="1030553203"/>
    <x v="10"/>
    <n v="1"/>
    <n v="6"/>
    <n v="3"/>
    <n v="615000"/>
    <n v="51770119"/>
    <x v="1"/>
    <n v="30344466"/>
    <n v="0"/>
    <n v="0"/>
    <n v="3"/>
    <n v="0"/>
    <x v="3"/>
  </r>
  <r>
    <n v="1088288465"/>
    <x v="11"/>
    <n v="2"/>
    <n v="16"/>
    <n v="2"/>
    <n v="8001014.666666666"/>
    <n v="105600000"/>
    <x v="1"/>
    <n v="36451600"/>
    <n v="0"/>
    <n v="4"/>
    <n v="10"/>
    <n v="10"/>
    <x v="2"/>
  </r>
  <r>
    <n v="1012357343"/>
    <x v="12"/>
    <n v="1"/>
    <n v="13"/>
    <n v="3"/>
    <n v="7810000"/>
    <n v="8500000"/>
    <x v="6"/>
    <n v="15384775"/>
    <n v="0"/>
    <n v="1"/>
    <n v="1"/>
    <n v="2"/>
    <x v="1"/>
  </r>
  <r>
    <n v="1090481863"/>
    <x v="9"/>
    <n v="3"/>
    <n v="7"/>
    <n v="2"/>
    <n v="3690000"/>
    <n v="90000000"/>
    <x v="1"/>
    <n v="33343246"/>
    <n v="0"/>
    <n v="0"/>
    <n v="12"/>
    <n v="4"/>
    <x v="6"/>
  </r>
  <r>
    <n v="52911577"/>
    <x v="13"/>
    <n v="3"/>
    <n v="13"/>
    <n v="2"/>
    <n v="2865416.666666667"/>
    <n v="91000000"/>
    <x v="7"/>
    <n v="124983990"/>
    <n v="0"/>
    <n v="0"/>
    <n v="7"/>
    <n v="2"/>
    <x v="3"/>
  </r>
  <r>
    <n v="1016047173"/>
    <x v="6"/>
    <n v="3"/>
    <n v="10"/>
    <n v="0"/>
    <n v="0"/>
    <n v="91000000"/>
    <x v="1"/>
    <n v="44399475"/>
    <n v="0"/>
    <n v="0"/>
    <n v="4"/>
    <n v="0"/>
    <x v="1"/>
  </r>
  <r>
    <n v="86061163"/>
    <x v="14"/>
    <n v="3"/>
    <n v="4"/>
    <n v="6"/>
    <n v="6275000"/>
    <n v="56100000"/>
    <x v="1"/>
    <n v="72934137"/>
    <n v="0"/>
    <n v="5"/>
    <n v="7"/>
    <n v="6"/>
    <x v="6"/>
  </r>
  <r>
    <n v="1014177866"/>
    <x v="15"/>
    <n v="2"/>
    <n v="9"/>
    <n v="4"/>
    <n v="-1338560.5"/>
    <n v="0"/>
    <x v="8"/>
    <n v="91291845"/>
    <n v="0"/>
    <n v="0"/>
    <n v="4"/>
    <n v="17"/>
    <x v="0"/>
  </r>
  <r>
    <n v="1098784756"/>
    <x v="16"/>
    <n v="2"/>
    <n v="11"/>
    <n v="1"/>
    <n v="2645000"/>
    <n v="25000000"/>
    <x v="9"/>
    <n v="56548786"/>
    <n v="20000000"/>
    <n v="2"/>
    <n v="2"/>
    <n v="4"/>
    <x v="6"/>
  </r>
  <r>
    <n v="1013625614"/>
    <x v="17"/>
    <n v="3"/>
    <n v="6"/>
    <n v="1"/>
    <n v="3320000"/>
    <n v="7000000"/>
    <x v="10"/>
    <n v="14785775"/>
    <n v="0"/>
    <n v="1"/>
    <n v="5"/>
    <n v="4"/>
    <x v="7"/>
  </r>
  <r>
    <n v="78031890"/>
    <x v="18"/>
    <n v="2"/>
    <n v="3"/>
    <n v="2"/>
    <n v="7214834.166666667"/>
    <n v="91200000"/>
    <x v="1"/>
    <n v="39819000"/>
    <n v="0"/>
    <n v="8"/>
    <n v="7"/>
    <n v="14"/>
    <x v="1"/>
  </r>
  <r>
    <n v="80169986"/>
    <x v="3"/>
    <n v="4"/>
    <n v="13"/>
    <n v="6"/>
    <n v="7248568.5"/>
    <n v="62400000"/>
    <x v="1"/>
    <n v="113212900"/>
    <n v="0"/>
    <n v="6"/>
    <n v="14"/>
    <n v="6"/>
    <x v="0"/>
  </r>
  <r>
    <n v="1073383917"/>
    <x v="19"/>
    <n v="1"/>
    <n v="3"/>
    <n v="2"/>
    <n v="1230000"/>
    <n v="10000000"/>
    <x v="1"/>
    <n v="22540000"/>
    <n v="0"/>
    <n v="1"/>
    <n v="0"/>
    <n v="0"/>
    <x v="7"/>
  </r>
  <r>
    <n v="1128391746"/>
    <x v="20"/>
    <n v="1"/>
    <n v="4"/>
    <n v="4"/>
    <n v="6090000"/>
    <n v="82480000"/>
    <x v="11"/>
    <n v="61527000"/>
    <n v="0"/>
    <n v="8"/>
    <n v="11"/>
    <n v="8"/>
    <x v="2"/>
  </r>
  <r>
    <n v="1088284278"/>
    <x v="9"/>
    <n v="5"/>
    <n v="12"/>
    <n v="10"/>
    <n v="9693000"/>
    <n v="161500000"/>
    <x v="12"/>
    <n v="136409648"/>
    <n v="0"/>
    <n v="7"/>
    <n v="10"/>
    <n v="9"/>
    <x v="2"/>
  </r>
  <r>
    <n v="42140064"/>
    <x v="21"/>
    <n v="6"/>
    <n v="10"/>
    <n v="7"/>
    <n v="9911666.666666666"/>
    <n v="62800000.000000007"/>
    <x v="13"/>
    <n v="86206921"/>
    <n v="0"/>
    <n v="7"/>
    <n v="13"/>
    <n v="11"/>
    <x v="6"/>
  </r>
  <r>
    <n v="1098657835"/>
    <x v="22"/>
    <n v="0"/>
    <n v="11"/>
    <n v="9"/>
    <n v="1391472"/>
    <n v="22300000"/>
    <x v="14"/>
    <n v="89759707"/>
    <n v="0"/>
    <n v="3"/>
    <n v="6"/>
    <n v="7"/>
    <x v="5"/>
  </r>
  <r>
    <n v="39758972"/>
    <x v="23"/>
    <n v="3"/>
    <n v="8"/>
    <n v="5"/>
    <n v="1430416.6666666667"/>
    <n v="37300000"/>
    <x v="15"/>
    <n v="37903000"/>
    <n v="0"/>
    <n v="5"/>
    <n v="18"/>
    <n v="10"/>
    <x v="2"/>
  </r>
  <r>
    <n v="1093223462"/>
    <x v="24"/>
    <n v="7"/>
    <n v="13"/>
    <n v="5"/>
    <n v="7581250"/>
    <n v="41200000"/>
    <x v="16"/>
    <n v="83879495"/>
    <n v="0"/>
    <n v="6"/>
    <n v="15"/>
    <n v="17"/>
    <x v="5"/>
  </r>
  <r>
    <n v="1020756518"/>
    <x v="25"/>
    <n v="7"/>
    <n v="10"/>
    <n v="5"/>
    <n v="370000"/>
    <n v="34500000"/>
    <x v="1"/>
    <n v="58950850"/>
    <n v="0"/>
    <n v="2"/>
    <n v="2"/>
    <n v="6"/>
    <x v="6"/>
  </r>
  <r>
    <n v="1090416967"/>
    <x v="22"/>
    <n v="1"/>
    <n v="13"/>
    <n v="1"/>
    <n v="7136666.666666667"/>
    <n v="79400000"/>
    <x v="1"/>
    <n v="33332367"/>
    <n v="0"/>
    <n v="2"/>
    <n v="17"/>
    <n v="16"/>
    <x v="1"/>
  </r>
  <r>
    <n v="1012346611"/>
    <x v="26"/>
    <n v="10"/>
    <n v="12"/>
    <n v="2"/>
    <n v="2460000"/>
    <n v="20000000"/>
    <x v="17"/>
    <n v="9340000"/>
    <n v="0"/>
    <n v="2"/>
    <n v="7"/>
    <n v="4"/>
    <x v="3"/>
  </r>
  <r>
    <n v="52458890"/>
    <x v="27"/>
    <n v="0"/>
    <n v="13"/>
    <n v="4"/>
    <n v="8550000"/>
    <n v="81700000"/>
    <x v="1"/>
    <n v="54215000"/>
    <n v="0"/>
    <n v="6"/>
    <n v="7"/>
    <n v="3"/>
    <x v="4"/>
  </r>
  <r>
    <n v="73199300"/>
    <x v="22"/>
    <n v="2"/>
    <n v="5"/>
    <n v="0"/>
    <n v="3924749.5"/>
    <n v="35000000"/>
    <x v="1"/>
    <n v="20690084"/>
    <n v="0"/>
    <n v="2"/>
    <n v="8"/>
    <n v="24"/>
    <x v="7"/>
  </r>
  <r>
    <n v="43996380"/>
    <x v="9"/>
    <n v="5"/>
    <n v="13"/>
    <n v="5"/>
    <n v="7505000"/>
    <n v="193385000"/>
    <x v="1"/>
    <n v="141795661"/>
    <n v="0"/>
    <n v="9"/>
    <n v="12"/>
    <n v="11"/>
    <x v="6"/>
  </r>
  <r>
    <n v="40394022"/>
    <x v="28"/>
    <n v="1"/>
    <n v="8"/>
    <n v="2"/>
    <n v="7380000"/>
    <n v="138300000"/>
    <x v="18"/>
    <n v="26835381"/>
    <n v="0"/>
    <n v="9"/>
    <n v="10"/>
    <n v="10"/>
    <x v="2"/>
  </r>
  <r>
    <n v="24552785"/>
    <x v="4"/>
    <n v="1"/>
    <n v="4"/>
    <n v="11"/>
    <n v="3445000"/>
    <n v="63000000"/>
    <x v="1"/>
    <n v="62179271"/>
    <n v="0"/>
    <n v="1"/>
    <n v="8"/>
    <n v="5"/>
    <x v="0"/>
  </r>
  <r>
    <n v="1063146925"/>
    <x v="14"/>
    <n v="2"/>
    <n v="12"/>
    <n v="2"/>
    <n v="9276250"/>
    <n v="75400000"/>
    <x v="19"/>
    <n v="73657212"/>
    <n v="0"/>
    <n v="3"/>
    <n v="3"/>
    <n v="4"/>
    <x v="8"/>
  </r>
  <r>
    <n v="1143835057"/>
    <x v="29"/>
    <n v="7"/>
    <n v="12"/>
    <n v="2"/>
    <n v="10641539.166666666"/>
    <n v="105765479.67"/>
    <x v="20"/>
    <n v="73418600"/>
    <n v="0"/>
    <n v="10"/>
    <n v="14"/>
    <n v="8"/>
    <x v="7"/>
  </r>
  <r>
    <n v="1037599855"/>
    <x v="10"/>
    <n v="1"/>
    <n v="1"/>
    <n v="3"/>
    <n v="5735416.666666667"/>
    <n v="105765280.08"/>
    <x v="1"/>
    <n v="83624048"/>
    <n v="0"/>
    <n v="5"/>
    <n v="12"/>
    <n v="10"/>
    <x v="5"/>
  </r>
  <r>
    <n v="1121860724"/>
    <x v="19"/>
    <n v="7"/>
    <n v="12"/>
    <n v="3"/>
    <n v="4120000"/>
    <n v="22230000"/>
    <x v="21"/>
    <n v="117961000"/>
    <n v="0"/>
    <n v="3"/>
    <n v="7"/>
    <n v="0"/>
    <x v="5"/>
  </r>
  <r>
    <n v="1014186944"/>
    <x v="30"/>
    <n v="2"/>
    <n v="3"/>
    <n v="1"/>
    <n v="5780000"/>
    <n v="148300000"/>
    <x v="22"/>
    <n v="79790050"/>
    <n v="0"/>
    <n v="6"/>
    <n v="3"/>
    <n v="3"/>
    <x v="3"/>
  </r>
  <r>
    <n v="1022390564"/>
    <x v="19"/>
    <n v="1"/>
    <n v="12"/>
    <n v="4"/>
    <n v="5553000"/>
    <n v="77800000"/>
    <x v="23"/>
    <n v="92376044"/>
    <n v="0"/>
    <n v="11"/>
    <n v="17"/>
    <n v="17"/>
    <x v="0"/>
  </r>
  <r>
    <n v="53013251"/>
    <x v="31"/>
    <n v="1"/>
    <n v="8"/>
    <n v="4"/>
    <n v="8050268.666666667"/>
    <n v="54800000"/>
    <x v="1"/>
    <n v="142320000"/>
    <n v="0"/>
    <n v="9"/>
    <n v="10"/>
    <n v="11"/>
    <x v="5"/>
  </r>
  <r>
    <n v="53071321"/>
    <x v="32"/>
    <n v="8"/>
    <n v="15"/>
    <n v="2"/>
    <n v="8610000"/>
    <n v="68000000"/>
    <x v="1"/>
    <n v="172125941"/>
    <n v="0"/>
    <n v="0"/>
    <n v="0"/>
    <n v="0"/>
    <x v="0"/>
  </r>
  <r>
    <n v="1007438660"/>
    <x v="18"/>
    <n v="0"/>
    <n v="10"/>
    <n v="4"/>
    <n v="7392798.333333333"/>
    <n v="50100000"/>
    <x v="1"/>
    <n v="37178000"/>
    <n v="0"/>
    <n v="0"/>
    <n v="10"/>
    <n v="10"/>
    <x v="7"/>
  </r>
  <r>
    <n v="22790319"/>
    <x v="20"/>
    <n v="1"/>
    <n v="7"/>
    <n v="0"/>
    <n v="7195000"/>
    <n v="69000000"/>
    <x v="1"/>
    <n v="39970725"/>
    <n v="0"/>
    <n v="2"/>
    <n v="6"/>
    <n v="2"/>
    <x v="7"/>
  </r>
  <r>
    <n v="1037602972"/>
    <x v="33"/>
    <n v="0"/>
    <n v="12"/>
    <n v="5"/>
    <n v="1894250"/>
    <n v="81300000"/>
    <x v="1"/>
    <n v="186017067"/>
    <n v="0"/>
    <n v="2"/>
    <n v="10"/>
    <n v="8"/>
    <x v="5"/>
  </r>
  <r>
    <n v="53001497"/>
    <x v="25"/>
    <n v="3"/>
    <n v="12"/>
    <n v="4"/>
    <n v="3690000"/>
    <n v="141800000"/>
    <x v="24"/>
    <n v="139733909"/>
    <n v="0"/>
    <n v="0"/>
    <n v="10"/>
    <n v="4"/>
    <x v="6"/>
  </r>
  <r>
    <n v="1095942918"/>
    <x v="34"/>
    <n v="4"/>
    <n v="9"/>
    <n v="1"/>
    <n v="0"/>
    <n v="25400000"/>
    <x v="18"/>
    <n v="33038491"/>
    <n v="0"/>
    <n v="1"/>
    <n v="4"/>
    <n v="1"/>
    <x v="0"/>
  </r>
  <r>
    <n v="1032445027"/>
    <x v="35"/>
    <n v="3"/>
    <n v="12"/>
    <n v="0"/>
    <n v="4305000"/>
    <n v="31700000"/>
    <x v="0"/>
    <n v="83600915"/>
    <n v="0"/>
    <n v="2"/>
    <n v="5"/>
    <n v="1"/>
    <x v="4"/>
  </r>
  <r>
    <n v="1143122100"/>
    <x v="36"/>
    <n v="1"/>
    <n v="15"/>
    <n v="1"/>
    <n v="6420442"/>
    <n v="82100000"/>
    <x v="1"/>
    <n v="66355416"/>
    <n v="0"/>
    <n v="0"/>
    <n v="10"/>
    <n v="4"/>
    <x v="0"/>
  </r>
  <r>
    <n v="1022976107"/>
    <x v="10"/>
    <n v="2"/>
    <n v="6"/>
    <n v="5"/>
    <n v="5720000"/>
    <n v="20000000"/>
    <x v="1"/>
    <n v="36430000"/>
    <n v="0"/>
    <n v="8"/>
    <n v="2"/>
    <n v="0"/>
    <x v="7"/>
  </r>
  <r>
    <n v="1036610700"/>
    <x v="32"/>
    <n v="4"/>
    <n v="7"/>
    <n v="0"/>
    <n v="1845000"/>
    <n v="28800000"/>
    <x v="1"/>
    <n v="71570812"/>
    <n v="0"/>
    <n v="1"/>
    <n v="1"/>
    <n v="6"/>
    <x v="6"/>
  </r>
  <r>
    <n v="40411747"/>
    <x v="28"/>
    <n v="1"/>
    <n v="6"/>
    <n v="3"/>
    <n v="9040000"/>
    <n v="138000000"/>
    <x v="25"/>
    <n v="90856000"/>
    <n v="0"/>
    <n v="7"/>
    <n v="8"/>
    <n v="7"/>
    <x v="2"/>
  </r>
  <r>
    <n v="1112762663"/>
    <x v="37"/>
    <n v="2"/>
    <n v="5"/>
    <n v="2"/>
    <n v="3146666.6666666665"/>
    <n v="56000000"/>
    <x v="26"/>
    <n v="7410000"/>
    <n v="0"/>
    <n v="2"/>
    <n v="2"/>
    <n v="2"/>
    <x v="3"/>
  </r>
  <r>
    <n v="1018494555"/>
    <x v="13"/>
    <n v="7"/>
    <n v="12"/>
    <n v="2"/>
    <n v="-966666.66666666674"/>
    <n v="28400000"/>
    <x v="27"/>
    <n v="85011935"/>
    <n v="0"/>
    <n v="1"/>
    <n v="6"/>
    <n v="2"/>
    <x v="6"/>
  </r>
  <r>
    <n v="1090377515"/>
    <x v="38"/>
    <n v="1"/>
    <n v="5"/>
    <n v="1"/>
    <n v="4920000"/>
    <n v="40000000"/>
    <x v="1"/>
    <n v="13632218"/>
    <n v="0"/>
    <n v="2"/>
    <n v="6"/>
    <n v="6"/>
    <x v="2"/>
  </r>
  <r>
    <n v="1097406024"/>
    <x v="32"/>
    <n v="3"/>
    <n v="12"/>
    <n v="3"/>
    <n v="11070000"/>
    <n v="204047592.69999999"/>
    <x v="28"/>
    <n v="33120282"/>
    <n v="0"/>
    <n v="9"/>
    <n v="9"/>
    <n v="11"/>
    <x v="1"/>
  </r>
  <r>
    <n v="1026259310"/>
    <x v="2"/>
    <n v="2"/>
    <n v="3"/>
    <n v="15"/>
    <n v="1969013.5"/>
    <n v="31000000"/>
    <x v="29"/>
    <n v="33174162"/>
    <n v="0"/>
    <n v="5"/>
    <n v="8"/>
    <n v="8"/>
    <x v="4"/>
  </r>
  <r>
    <n v="1045701669"/>
    <x v="39"/>
    <n v="1"/>
    <n v="9"/>
    <n v="4"/>
    <n v="7195000"/>
    <n v="123000000"/>
    <x v="1"/>
    <n v="80001292"/>
    <n v="0"/>
    <n v="9"/>
    <n v="8"/>
    <n v="10"/>
    <x v="0"/>
  </r>
  <r>
    <n v="80014264"/>
    <x v="0"/>
    <n v="2"/>
    <n v="9"/>
    <n v="0"/>
    <n v="3690000"/>
    <n v="104890131"/>
    <x v="1"/>
    <n v="13595463"/>
    <n v="0"/>
    <n v="0"/>
    <n v="0"/>
    <n v="3"/>
    <x v="0"/>
  </r>
  <r>
    <n v="1019079546"/>
    <x v="6"/>
    <n v="2"/>
    <n v="15"/>
    <n v="4"/>
    <n v="7310564.25"/>
    <n v="60632000"/>
    <x v="30"/>
    <n v="113501655"/>
    <n v="0"/>
    <n v="1"/>
    <n v="6"/>
    <n v="3"/>
    <x v="6"/>
  </r>
  <r>
    <n v="1093760054"/>
    <x v="17"/>
    <n v="4"/>
    <n v="20"/>
    <n v="3"/>
    <n v="7320000"/>
    <n v="84200000"/>
    <x v="1"/>
    <n v="116588537"/>
    <n v="0"/>
    <n v="3"/>
    <n v="39"/>
    <n v="14"/>
    <x v="4"/>
  </r>
  <r>
    <n v="1140861189"/>
    <x v="40"/>
    <n v="6"/>
    <n v="8"/>
    <n v="0"/>
    <n v="4080000"/>
    <n v="37000000"/>
    <x v="31"/>
    <n v="52497728"/>
    <n v="0"/>
    <n v="5"/>
    <n v="9"/>
    <n v="13"/>
    <x v="1"/>
  </r>
  <r>
    <n v="80001235"/>
    <x v="41"/>
    <n v="8"/>
    <n v="12"/>
    <n v="3"/>
    <n v="2645000"/>
    <n v="56200000"/>
    <x v="32"/>
    <n v="26923831"/>
    <n v="0"/>
    <n v="3"/>
    <n v="9"/>
    <n v="5"/>
    <x v="5"/>
  </r>
  <r>
    <n v="1105786644"/>
    <x v="20"/>
    <n v="3"/>
    <n v="14"/>
    <n v="3"/>
    <n v="2337500"/>
    <n v="168800000"/>
    <x v="1"/>
    <n v="78198126"/>
    <n v="0"/>
    <n v="0"/>
    <n v="13"/>
    <n v="12"/>
    <x v="1"/>
  </r>
  <r>
    <n v="53070485"/>
    <x v="42"/>
    <n v="0"/>
    <n v="19"/>
    <n v="1"/>
    <n v="14049780.166666666"/>
    <n v="125444654.45"/>
    <x v="33"/>
    <n v="30660849"/>
    <n v="0"/>
    <n v="12"/>
    <n v="20"/>
    <n v="17"/>
    <x v="6"/>
  </r>
  <r>
    <n v="1090469124"/>
    <x v="43"/>
    <n v="1"/>
    <n v="12"/>
    <n v="0"/>
    <n v="1537500"/>
    <n v="55495538"/>
    <x v="34"/>
    <n v="36672937"/>
    <n v="0"/>
    <n v="15"/>
    <n v="21"/>
    <n v="25"/>
    <x v="5"/>
  </r>
  <r>
    <n v="1075677501"/>
    <x v="44"/>
    <n v="5"/>
    <n v="9"/>
    <n v="3"/>
    <n v="2645000"/>
    <n v="133662250"/>
    <x v="35"/>
    <n v="115679948"/>
    <n v="0"/>
    <n v="2"/>
    <n v="1"/>
    <n v="2"/>
    <x v="5"/>
  </r>
  <r>
    <n v="51968566"/>
    <x v="18"/>
    <n v="9"/>
    <n v="14"/>
    <n v="12"/>
    <n v="7682269.166666667"/>
    <n v="100100000"/>
    <x v="36"/>
    <n v="158088000"/>
    <n v="0"/>
    <n v="4"/>
    <n v="5"/>
    <n v="3"/>
    <x v="8"/>
  </r>
  <r>
    <n v="1144139793"/>
    <x v="45"/>
    <n v="0"/>
    <n v="13"/>
    <n v="0"/>
    <n v="3075000"/>
    <n v="26700000"/>
    <x v="1"/>
    <n v="37095376"/>
    <n v="0"/>
    <n v="3"/>
    <n v="4"/>
    <n v="7"/>
    <x v="5"/>
  </r>
  <r>
    <n v="52371021"/>
    <x v="10"/>
    <n v="4"/>
    <n v="11"/>
    <n v="3"/>
    <n v="4120000"/>
    <n v="15588102.07"/>
    <x v="37"/>
    <n v="73942500"/>
    <n v="0"/>
    <n v="1"/>
    <n v="0"/>
    <n v="0"/>
    <x v="2"/>
  </r>
  <r>
    <n v="65785486"/>
    <x v="46"/>
    <n v="6"/>
    <n v="12"/>
    <n v="0"/>
    <n v="5045000"/>
    <n v="63500000"/>
    <x v="38"/>
    <n v="47663000"/>
    <n v="0"/>
    <n v="4"/>
    <n v="9"/>
    <n v="7"/>
    <x v="0"/>
  </r>
  <r>
    <n v="1128430053"/>
    <x v="47"/>
    <n v="1"/>
    <n v="0"/>
    <n v="0"/>
    <n v="0"/>
    <n v="0"/>
    <x v="1"/>
    <n v="11515350"/>
    <n v="0"/>
    <n v="2"/>
    <n v="2"/>
    <n v="5"/>
    <x v="6"/>
  </r>
  <r>
    <n v="37900818"/>
    <x v="48"/>
    <n v="4"/>
    <n v="7"/>
    <n v="0"/>
    <n v="2030000"/>
    <n v="10000000"/>
    <x v="1"/>
    <n v="41673077"/>
    <n v="0"/>
    <n v="4"/>
    <n v="2"/>
    <n v="5"/>
    <x v="0"/>
  </r>
  <r>
    <n v="1014269744"/>
    <x v="36"/>
    <n v="0"/>
    <n v="5"/>
    <n v="3"/>
    <n v="1660000"/>
    <n v="31000000"/>
    <x v="1"/>
    <n v="19252000"/>
    <n v="0"/>
    <n v="0"/>
    <n v="1"/>
    <n v="2"/>
    <x v="7"/>
  </r>
  <r>
    <n v="1067877021"/>
    <x v="14"/>
    <n v="0"/>
    <n v="1"/>
    <n v="2"/>
    <n v="1045000"/>
    <n v="16000000"/>
    <x v="1"/>
    <n v="31179826"/>
    <n v="0"/>
    <n v="2"/>
    <n v="2"/>
    <n v="6"/>
    <x v="3"/>
  </r>
  <r>
    <n v="1031123630"/>
    <x v="38"/>
    <n v="1"/>
    <n v="6"/>
    <n v="3"/>
    <n v="4550000"/>
    <n v="81000000"/>
    <x v="39"/>
    <n v="22396000"/>
    <n v="0"/>
    <n v="1"/>
    <n v="3"/>
    <n v="2"/>
    <x v="5"/>
  </r>
  <r>
    <n v="1032445748"/>
    <x v="49"/>
    <n v="3"/>
    <n v="8"/>
    <n v="1"/>
    <n v="1230000"/>
    <n v="21230000"/>
    <x v="1"/>
    <n v="14400000"/>
    <n v="0"/>
    <n v="6"/>
    <n v="4"/>
    <n v="0"/>
    <x v="7"/>
  </r>
  <r>
    <n v="1017155100"/>
    <x v="48"/>
    <n v="3"/>
    <n v="7"/>
    <n v="2"/>
    <n v="5023816.75"/>
    <n v="21000000"/>
    <x v="1"/>
    <n v="45722716"/>
    <n v="0"/>
    <n v="8"/>
    <n v="11"/>
    <n v="12"/>
    <x v="7"/>
  </r>
  <r>
    <n v="1036628798"/>
    <x v="26"/>
    <n v="0"/>
    <n v="13"/>
    <n v="8"/>
    <n v="11070000"/>
    <n v="123600000"/>
    <x v="40"/>
    <n v="139782000"/>
    <n v="0"/>
    <n v="11"/>
    <n v="10"/>
    <n v="12"/>
    <x v="5"/>
  </r>
  <r>
    <n v="1015413125"/>
    <x v="50"/>
    <n v="0"/>
    <n v="6"/>
    <n v="3"/>
    <n v="7995000"/>
    <n v="160952213.5"/>
    <x v="41"/>
    <n v="69704250"/>
    <n v="0"/>
    <n v="6"/>
    <n v="4"/>
    <n v="4"/>
    <x v="5"/>
  </r>
  <r>
    <n v="1070010862"/>
    <x v="51"/>
    <n v="3"/>
    <n v="9"/>
    <n v="5"/>
    <n v="4735000"/>
    <n v="51000000"/>
    <x v="42"/>
    <n v="66070600"/>
    <n v="0"/>
    <n v="1"/>
    <n v="0"/>
    <n v="0"/>
    <x v="7"/>
  </r>
  <r>
    <n v="1020452848"/>
    <x v="52"/>
    <n v="3"/>
    <n v="10"/>
    <n v="3"/>
    <n v="8688477"/>
    <n v="200000000"/>
    <x v="1"/>
    <n v="94461470"/>
    <n v="0"/>
    <n v="11"/>
    <n v="11"/>
    <n v="14"/>
    <x v="7"/>
  </r>
  <r>
    <n v="1036641572"/>
    <x v="42"/>
    <n v="1"/>
    <n v="1"/>
    <n v="1"/>
    <n v="3690000"/>
    <n v="40000000"/>
    <x v="43"/>
    <n v="47380535"/>
    <n v="0"/>
    <n v="3"/>
    <n v="9"/>
    <n v="11"/>
    <x v="3"/>
  </r>
  <r>
    <n v="51918311"/>
    <x v="39"/>
    <n v="2"/>
    <n v="17"/>
    <n v="2"/>
    <n v="7380000"/>
    <n v="27800000"/>
    <x v="44"/>
    <n v="111889630"/>
    <n v="0"/>
    <n v="1"/>
    <n v="10"/>
    <n v="1"/>
    <x v="8"/>
  </r>
  <r>
    <n v="87061139"/>
    <x v="25"/>
    <n v="1"/>
    <n v="12"/>
    <n v="0"/>
    <n v="1540000"/>
    <n v="0"/>
    <x v="1"/>
    <n v="46166000"/>
    <n v="0"/>
    <n v="1"/>
    <n v="3"/>
    <n v="13"/>
    <x v="2"/>
  </r>
  <r>
    <n v="1110456272"/>
    <x v="53"/>
    <n v="3"/>
    <n v="10"/>
    <n v="10"/>
    <n v="3461346.75"/>
    <n v="67150000"/>
    <x v="45"/>
    <n v="21749000"/>
    <n v="0"/>
    <n v="3"/>
    <n v="14"/>
    <n v="6"/>
    <x v="3"/>
  </r>
  <r>
    <n v="52794583"/>
    <x v="26"/>
    <n v="8"/>
    <n v="12"/>
    <n v="0"/>
    <n v="5350000"/>
    <n v="50000000"/>
    <x v="1"/>
    <n v="77588404"/>
    <n v="0"/>
    <n v="3"/>
    <n v="12"/>
    <n v="9"/>
    <x v="0"/>
  </r>
  <r>
    <n v="1032382633"/>
    <x v="24"/>
    <n v="8"/>
    <n v="11"/>
    <n v="4"/>
    <n v="8610000"/>
    <n v="79430000"/>
    <x v="46"/>
    <n v="49676000"/>
    <n v="0"/>
    <n v="0"/>
    <n v="5"/>
    <n v="2"/>
    <x v="2"/>
  </r>
  <r>
    <n v="1110534685"/>
    <x v="54"/>
    <n v="4"/>
    <n v="6"/>
    <n v="8"/>
    <n v="4837500"/>
    <n v="89200000"/>
    <x v="47"/>
    <n v="13481000"/>
    <n v="0"/>
    <n v="3"/>
    <n v="5"/>
    <n v="7"/>
    <x v="3"/>
  </r>
  <r>
    <n v="52985881"/>
    <x v="24"/>
    <n v="1"/>
    <n v="11"/>
    <n v="2"/>
    <n v="1702500"/>
    <n v="26500000"/>
    <x v="1"/>
    <n v="22621625"/>
    <n v="0"/>
    <n v="0"/>
    <n v="7"/>
    <n v="4"/>
    <x v="7"/>
  </r>
  <r>
    <n v="43982807"/>
    <x v="45"/>
    <n v="2"/>
    <n v="3"/>
    <n v="11"/>
    <n v="10760015.833333334"/>
    <n v="91000000"/>
    <x v="1"/>
    <n v="106480790"/>
    <n v="0"/>
    <n v="5"/>
    <n v="7"/>
    <n v="9"/>
    <x v="3"/>
  </r>
  <r>
    <n v="1032441726"/>
    <x v="55"/>
    <n v="7"/>
    <n v="13"/>
    <n v="2"/>
    <n v="3200000"/>
    <n v="51600000"/>
    <x v="48"/>
    <n v="16656763"/>
    <n v="0"/>
    <n v="4"/>
    <n v="9"/>
    <n v="11"/>
    <x v="0"/>
  </r>
  <r>
    <n v="36379017"/>
    <x v="56"/>
    <n v="1"/>
    <n v="7"/>
    <n v="2"/>
    <n v="1660000"/>
    <n v="76200000"/>
    <x v="49"/>
    <n v="53844000"/>
    <n v="0"/>
    <n v="6"/>
    <n v="7"/>
    <n v="4"/>
    <x v="3"/>
  </r>
  <r>
    <n v="1032476920"/>
    <x v="57"/>
    <n v="2"/>
    <n v="8"/>
    <n v="0"/>
    <n v="5105000"/>
    <n v="31700000"/>
    <x v="16"/>
    <n v="78594722"/>
    <n v="0"/>
    <n v="0"/>
    <n v="2"/>
    <n v="4"/>
    <x v="5"/>
  </r>
  <r>
    <n v="80912936"/>
    <x v="34"/>
    <n v="8"/>
    <n v="7"/>
    <n v="3"/>
    <n v="6591666.666666667"/>
    <n v="44100000"/>
    <x v="50"/>
    <n v="140300000"/>
    <n v="0"/>
    <n v="1"/>
    <n v="2"/>
    <n v="2"/>
    <x v="1"/>
  </r>
  <r>
    <n v="1022968395"/>
    <x v="58"/>
    <n v="1"/>
    <n v="2"/>
    <n v="1"/>
    <n v="10025000"/>
    <n v="60696800"/>
    <x v="51"/>
    <n v="13290000"/>
    <n v="0"/>
    <n v="3"/>
    <n v="5"/>
    <n v="3"/>
    <x v="8"/>
  </r>
  <r>
    <n v="59831498"/>
    <x v="24"/>
    <n v="9"/>
    <n v="5"/>
    <n v="5"/>
    <n v="11810000"/>
    <n v="169806317.50999999"/>
    <x v="1"/>
    <n v="67604000"/>
    <n v="0"/>
    <n v="6"/>
    <n v="17"/>
    <n v="10"/>
    <x v="8"/>
  </r>
  <r>
    <n v="59829540"/>
    <x v="31"/>
    <n v="7"/>
    <n v="14"/>
    <n v="4"/>
    <n v="7992056.75"/>
    <n v="76408401.689999998"/>
    <x v="41"/>
    <n v="124803837"/>
    <n v="0"/>
    <n v="4"/>
    <n v="9"/>
    <n v="10"/>
    <x v="0"/>
  </r>
  <r>
    <n v="1014212838"/>
    <x v="59"/>
    <n v="2"/>
    <n v="20"/>
    <n v="2"/>
    <n v="10455000"/>
    <n v="100000000"/>
    <x v="1"/>
    <n v="140440191"/>
    <n v="0"/>
    <n v="1"/>
    <n v="8"/>
    <n v="6"/>
    <x v="2"/>
  </r>
  <r>
    <n v="1060651544"/>
    <x v="6"/>
    <n v="3"/>
    <n v="7"/>
    <n v="7"/>
    <n v="8425000"/>
    <n v="95500000"/>
    <x v="1"/>
    <n v="46080574"/>
    <n v="0"/>
    <n v="8"/>
    <n v="8"/>
    <n v="10"/>
    <x v="8"/>
  </r>
  <r>
    <n v="16937738"/>
    <x v="7"/>
    <n v="8"/>
    <n v="13"/>
    <n v="1"/>
    <n v="8457000"/>
    <n v="99000000"/>
    <x v="0"/>
    <n v="98355341"/>
    <n v="0"/>
    <n v="7"/>
    <n v="7"/>
    <n v="19"/>
    <x v="5"/>
  </r>
  <r>
    <n v="1019119838"/>
    <x v="60"/>
    <n v="9"/>
    <n v="4"/>
    <n v="4"/>
    <n v="2747500"/>
    <n v="47200000"/>
    <x v="1"/>
    <n v="55814280"/>
    <n v="0"/>
    <n v="3"/>
    <n v="7"/>
    <n v="3"/>
    <x v="3"/>
  </r>
  <r>
    <n v="1013584201"/>
    <x v="61"/>
    <n v="3"/>
    <n v="12"/>
    <n v="4"/>
    <n v="5105000"/>
    <n v="81000000"/>
    <x v="52"/>
    <n v="93989986"/>
    <n v="0"/>
    <n v="3"/>
    <n v="8"/>
    <n v="6"/>
    <x v="2"/>
  </r>
  <r>
    <n v="36312342"/>
    <x v="32"/>
    <n v="5"/>
    <n v="13"/>
    <n v="1"/>
    <n v="6825000"/>
    <n v="96651838.870000005"/>
    <x v="1"/>
    <n v="124198600"/>
    <n v="0"/>
    <n v="3"/>
    <n v="3"/>
    <n v="5"/>
    <x v="1"/>
  </r>
  <r>
    <n v="1015445334"/>
    <x v="49"/>
    <n v="3"/>
    <n v="1"/>
    <n v="2"/>
    <n v="1230000"/>
    <n v="27000000"/>
    <x v="1"/>
    <n v="43360706"/>
    <n v="0"/>
    <n v="0"/>
    <n v="5"/>
    <n v="1"/>
    <x v="1"/>
  </r>
  <r>
    <n v="52316019"/>
    <x v="35"/>
    <n v="5"/>
    <n v="6"/>
    <n v="2"/>
    <n v="448024.16666666674"/>
    <n v="95778491"/>
    <x v="1"/>
    <n v="30917745"/>
    <n v="0"/>
    <n v="4"/>
    <n v="14"/>
    <n v="17"/>
    <x v="7"/>
  </r>
  <r>
    <n v="1152186210"/>
    <x v="62"/>
    <n v="0"/>
    <n v="5"/>
    <n v="9"/>
    <n v="8325220.5"/>
    <n v="68900000"/>
    <x v="1"/>
    <n v="136723763"/>
    <n v="0"/>
    <n v="3"/>
    <n v="14"/>
    <n v="12"/>
    <x v="1"/>
  </r>
  <r>
    <n v="1016022263"/>
    <x v="50"/>
    <n v="6"/>
    <n v="8"/>
    <n v="2"/>
    <n v="8897500"/>
    <n v="72000000"/>
    <x v="49"/>
    <n v="43562000"/>
    <n v="0"/>
    <n v="3"/>
    <n v="3"/>
    <n v="4"/>
    <x v="6"/>
  </r>
  <r>
    <n v="1090418259"/>
    <x v="39"/>
    <n v="3"/>
    <n v="5"/>
    <n v="2"/>
    <n v="8300000"/>
    <n v="110431659.09999999"/>
    <x v="1"/>
    <n v="26979885"/>
    <n v="0"/>
    <n v="3"/>
    <n v="11"/>
    <n v="14"/>
    <x v="4"/>
  </r>
  <r>
    <n v="1129533233"/>
    <x v="50"/>
    <n v="1"/>
    <n v="7"/>
    <n v="1"/>
    <n v="4305000"/>
    <n v="36200000"/>
    <x v="1"/>
    <n v="12706823"/>
    <n v="0"/>
    <n v="0"/>
    <n v="2"/>
    <n v="15"/>
    <x v="2"/>
  </r>
  <r>
    <n v="1110455144"/>
    <x v="1"/>
    <n v="1"/>
    <n v="7"/>
    <n v="4"/>
    <n v="7320000"/>
    <n v="122910000"/>
    <x v="22"/>
    <n v="59614354"/>
    <n v="0"/>
    <n v="7"/>
    <n v="8"/>
    <n v="14"/>
    <x v="4"/>
  </r>
  <r>
    <n v="1095816078"/>
    <x v="63"/>
    <n v="2"/>
    <n v="10"/>
    <n v="0"/>
    <n v="1660000"/>
    <n v="11200000"/>
    <x v="1"/>
    <n v="20900000"/>
    <n v="0"/>
    <n v="1"/>
    <n v="11"/>
    <n v="10"/>
    <x v="0"/>
  </r>
  <r>
    <n v="1022373282"/>
    <x v="64"/>
    <n v="2"/>
    <n v="13"/>
    <n v="2"/>
    <n v="4860000"/>
    <n v="22300000"/>
    <x v="53"/>
    <n v="59573100"/>
    <n v="0"/>
    <n v="2"/>
    <n v="8"/>
    <n v="5"/>
    <x v="6"/>
  </r>
  <r>
    <n v="91529653"/>
    <x v="49"/>
    <n v="4"/>
    <n v="8"/>
    <n v="2"/>
    <n v="4561250"/>
    <n v="27537636.170000002"/>
    <x v="54"/>
    <n v="71195801"/>
    <n v="0"/>
    <n v="2"/>
    <n v="14"/>
    <n v="6"/>
    <x v="6"/>
  </r>
  <r>
    <n v="37393718"/>
    <x v="58"/>
    <n v="6"/>
    <n v="11"/>
    <n v="2"/>
    <n v="7625000"/>
    <n v="111650000"/>
    <x v="1"/>
    <n v="123647891"/>
    <n v="0"/>
    <n v="7"/>
    <n v="19"/>
    <n v="21"/>
    <x v="0"/>
  </r>
  <r>
    <n v="1022337954"/>
    <x v="46"/>
    <n v="0"/>
    <n v="10"/>
    <n v="1"/>
    <n v="607661.66666666674"/>
    <n v="80000000"/>
    <x v="55"/>
    <n v="62572716"/>
    <n v="0"/>
    <n v="3"/>
    <n v="37"/>
    <n v="16"/>
    <x v="3"/>
  </r>
  <r>
    <n v="80058437"/>
    <x v="65"/>
    <n v="8"/>
    <n v="6"/>
    <n v="0"/>
    <n v="1087500"/>
    <n v="23000000"/>
    <x v="1"/>
    <n v="49215700"/>
    <n v="0"/>
    <n v="0"/>
    <n v="8"/>
    <n v="3"/>
    <x v="1"/>
  </r>
  <r>
    <n v="1053333894"/>
    <x v="64"/>
    <n v="3"/>
    <n v="8"/>
    <n v="4"/>
    <n v="5290000"/>
    <n v="67400000"/>
    <x v="56"/>
    <n v="50773200"/>
    <n v="0"/>
    <n v="2"/>
    <n v="7"/>
    <n v="3"/>
    <x v="5"/>
  </r>
  <r>
    <n v="52395260"/>
    <x v="66"/>
    <n v="4"/>
    <n v="12"/>
    <n v="6"/>
    <n v="1873857.5"/>
    <n v="11200000"/>
    <x v="1"/>
    <n v="45578000"/>
    <n v="0"/>
    <n v="1"/>
    <n v="3"/>
    <n v="0"/>
    <x v="2"/>
  </r>
  <r>
    <n v="1076383411"/>
    <x v="67"/>
    <n v="5"/>
    <n v="10"/>
    <n v="10"/>
    <n v="1600000"/>
    <n v="22000000"/>
    <x v="1"/>
    <n v="53846700"/>
    <n v="0"/>
    <n v="5"/>
    <n v="11"/>
    <n v="7"/>
    <x v="8"/>
  </r>
  <r>
    <n v="59828397"/>
    <x v="61"/>
    <n v="7"/>
    <n v="14"/>
    <n v="1"/>
    <n v="2926000"/>
    <n v="45000000"/>
    <x v="1"/>
    <n v="30431000"/>
    <n v="0"/>
    <n v="2"/>
    <n v="6"/>
    <n v="13"/>
    <x v="7"/>
  </r>
  <r>
    <n v="1128470692"/>
    <x v="9"/>
    <n v="2"/>
    <n v="6"/>
    <n v="0"/>
    <n v="8193386.833333333"/>
    <n v="103000000"/>
    <x v="1"/>
    <n v="131779550"/>
    <n v="0"/>
    <n v="4"/>
    <n v="11"/>
    <n v="5"/>
    <x v="4"/>
  </r>
  <r>
    <n v="1124017849"/>
    <x v="5"/>
    <n v="1"/>
    <n v="5"/>
    <n v="0"/>
    <n v="0"/>
    <n v="0"/>
    <x v="1"/>
    <n v="0"/>
    <n v="0"/>
    <n v="0"/>
    <n v="4"/>
    <n v="9"/>
    <x v="7"/>
  </r>
  <r>
    <n v="1037577914"/>
    <x v="15"/>
    <n v="2"/>
    <n v="6"/>
    <n v="7"/>
    <n v="4389874.166666667"/>
    <n v="125500000"/>
    <x v="49"/>
    <n v="102800474"/>
    <n v="0"/>
    <n v="7"/>
    <n v="7"/>
    <n v="7"/>
    <x v="4"/>
  </r>
  <r>
    <n v="22448668"/>
    <x v="47"/>
    <n v="0"/>
    <n v="2"/>
    <n v="1"/>
    <n v="40000"/>
    <n v="0"/>
    <x v="1"/>
    <n v="4761124"/>
    <n v="0"/>
    <n v="0"/>
    <n v="4"/>
    <n v="1"/>
    <x v="1"/>
  </r>
  <r>
    <n v="1024502023"/>
    <x v="49"/>
    <n v="1"/>
    <n v="4"/>
    <n v="0"/>
    <n v="0"/>
    <n v="5000000"/>
    <x v="1"/>
    <n v="31968290"/>
    <n v="0"/>
    <n v="0"/>
    <n v="1"/>
    <n v="0"/>
    <x v="5"/>
  </r>
  <r>
    <n v="1023871661"/>
    <x v="25"/>
    <n v="5"/>
    <n v="8"/>
    <n v="3"/>
    <n v="185000"/>
    <n v="68100000"/>
    <x v="42"/>
    <n v="27530509"/>
    <n v="0"/>
    <n v="0"/>
    <n v="1"/>
    <n v="2"/>
    <x v="4"/>
  </r>
  <r>
    <n v="1140824117"/>
    <x v="54"/>
    <n v="1"/>
    <n v="12"/>
    <n v="0"/>
    <n v="6335000"/>
    <n v="53700000"/>
    <x v="1"/>
    <n v="0"/>
    <n v="0"/>
    <n v="2"/>
    <n v="11"/>
    <n v="12"/>
    <x v="3"/>
  </r>
  <r>
    <n v="1030666605"/>
    <x v="34"/>
    <n v="2"/>
    <n v="7"/>
    <n v="1"/>
    <n v="6090000"/>
    <n v="78000000"/>
    <x v="1"/>
    <n v="63723100"/>
    <n v="0"/>
    <n v="3"/>
    <n v="7"/>
    <n v="6"/>
    <x v="4"/>
  </r>
  <r>
    <n v="1140868919"/>
    <x v="9"/>
    <n v="1"/>
    <n v="9"/>
    <n v="1"/>
    <n v="5220000"/>
    <n v="136000000"/>
    <x v="1"/>
    <n v="45430107"/>
    <n v="0"/>
    <n v="1"/>
    <n v="12"/>
    <n v="7"/>
    <x v="0"/>
  </r>
  <r>
    <n v="51835123"/>
    <x v="61"/>
    <n v="0"/>
    <n v="4"/>
    <n v="7"/>
    <n v="615000"/>
    <n v="-22900000"/>
    <x v="1"/>
    <n v="58534969"/>
    <n v="0"/>
    <n v="0"/>
    <n v="1"/>
    <n v="2"/>
    <x v="4"/>
  </r>
  <r>
    <n v="1081813294"/>
    <x v="21"/>
    <n v="2"/>
    <n v="17"/>
    <n v="2"/>
    <n v="9410000"/>
    <n v="217410000"/>
    <x v="1"/>
    <n v="102847317"/>
    <n v="0"/>
    <n v="6"/>
    <n v="6"/>
    <n v="6"/>
    <x v="0"/>
  </r>
  <r>
    <n v="79685961"/>
    <x v="58"/>
    <n v="2"/>
    <n v="12"/>
    <n v="3"/>
    <n v="2368577.5"/>
    <n v="63500000"/>
    <x v="57"/>
    <n v="93467467"/>
    <n v="0"/>
    <n v="1"/>
    <n v="6"/>
    <n v="14"/>
    <x v="8"/>
  </r>
  <r>
    <n v="1113648445"/>
    <x v="68"/>
    <n v="3"/>
    <n v="9"/>
    <n v="0"/>
    <n v="3690000"/>
    <n v="81600000"/>
    <x v="1"/>
    <n v="50215103"/>
    <n v="0"/>
    <n v="1"/>
    <n v="1"/>
    <n v="2"/>
    <x v="5"/>
  </r>
  <r>
    <n v="1017139629"/>
    <x v="69"/>
    <n v="3"/>
    <n v="6"/>
    <n v="10"/>
    <n v="1345000"/>
    <n v="5000000"/>
    <x v="1"/>
    <n v="109441500"/>
    <n v="0"/>
    <n v="1"/>
    <n v="8"/>
    <n v="1"/>
    <x v="4"/>
  </r>
  <r>
    <n v="37321869"/>
    <x v="40"/>
    <n v="4"/>
    <n v="4"/>
    <n v="1"/>
    <n v="1288000"/>
    <n v="6000000"/>
    <x v="1"/>
    <n v="37359700"/>
    <n v="0"/>
    <n v="0"/>
    <n v="2"/>
    <n v="2"/>
    <x v="7"/>
  </r>
  <r>
    <n v="1152187419"/>
    <x v="40"/>
    <n v="2"/>
    <n v="9"/>
    <n v="4"/>
    <n v="8403000"/>
    <n v="41774253.600000001"/>
    <x v="58"/>
    <n v="112448000"/>
    <n v="0"/>
    <n v="3"/>
    <n v="6"/>
    <n v="4"/>
    <x v="2"/>
  </r>
  <r>
    <n v="1045666213"/>
    <x v="70"/>
    <n v="4"/>
    <n v="2"/>
    <n v="6"/>
    <n v="1368500"/>
    <n v="42400000"/>
    <x v="1"/>
    <n v="54500000"/>
    <n v="0"/>
    <n v="2"/>
    <n v="0"/>
    <n v="2"/>
    <x v="3"/>
  </r>
  <r>
    <n v="51793150"/>
    <x v="71"/>
    <n v="2"/>
    <n v="6"/>
    <n v="1"/>
    <n v="615000"/>
    <n v="48000000"/>
    <x v="59"/>
    <n v="0"/>
    <n v="0"/>
    <n v="0"/>
    <n v="2"/>
    <n v="1"/>
    <x v="0"/>
  </r>
  <r>
    <n v="1031171573"/>
    <x v="17"/>
    <n v="0"/>
    <n v="9"/>
    <n v="2"/>
    <n v="2645000"/>
    <n v="81900000"/>
    <x v="49"/>
    <n v="32685000"/>
    <n v="0"/>
    <n v="1"/>
    <n v="9"/>
    <n v="0"/>
    <x v="5"/>
  </r>
  <r>
    <n v="1013581339"/>
    <x v="45"/>
    <n v="0"/>
    <n v="3"/>
    <n v="3"/>
    <n v="3075000"/>
    <n v="0"/>
    <x v="60"/>
    <n v="15026764"/>
    <n v="0"/>
    <n v="0"/>
    <n v="1"/>
    <n v="0"/>
    <x v="0"/>
  </r>
  <r>
    <n v="1012353112"/>
    <x v="13"/>
    <n v="2"/>
    <n v="5"/>
    <n v="0"/>
    <n v="-311471.75"/>
    <n v="6000000"/>
    <x v="1"/>
    <n v="49489000"/>
    <n v="0"/>
    <n v="0"/>
    <n v="4"/>
    <n v="1"/>
    <x v="1"/>
  </r>
  <r>
    <n v="1012389944"/>
    <x v="30"/>
    <n v="5"/>
    <n v="10"/>
    <n v="0"/>
    <n v="1045000"/>
    <n v="60000000"/>
    <x v="1"/>
    <n v="15885758"/>
    <n v="0"/>
    <n v="0"/>
    <n v="4"/>
    <n v="3"/>
    <x v="7"/>
  </r>
  <r>
    <n v="43187286"/>
    <x v="66"/>
    <n v="1"/>
    <n v="2"/>
    <n v="2"/>
    <n v="5577500"/>
    <n v="89100000"/>
    <x v="1"/>
    <n v="70466751"/>
    <n v="0"/>
    <n v="3"/>
    <n v="8"/>
    <n v="4"/>
    <x v="1"/>
  </r>
  <r>
    <n v="1018495960"/>
    <x v="72"/>
    <n v="5"/>
    <n v="13"/>
    <n v="4"/>
    <n v="5327820"/>
    <n v="63207638"/>
    <x v="18"/>
    <n v="39322200"/>
    <n v="0"/>
    <n v="2"/>
    <n v="6"/>
    <n v="7"/>
    <x v="4"/>
  </r>
  <r>
    <n v="32743416"/>
    <x v="49"/>
    <n v="6"/>
    <n v="11"/>
    <n v="4"/>
    <n v="6950000"/>
    <n v="134400000"/>
    <x v="1"/>
    <n v="12058000"/>
    <n v="0"/>
    <n v="5"/>
    <n v="7"/>
    <n v="7"/>
    <x v="0"/>
  </r>
  <r>
    <n v="1030671677"/>
    <x v="50"/>
    <n v="0"/>
    <n v="5"/>
    <n v="1"/>
    <n v="185000"/>
    <n v="0"/>
    <x v="1"/>
    <n v="9683400"/>
    <n v="0"/>
    <n v="0"/>
    <n v="0"/>
    <n v="0"/>
    <x v="1"/>
  </r>
  <r>
    <n v="1022361478"/>
    <x v="4"/>
    <n v="1"/>
    <n v="12"/>
    <n v="0"/>
    <n v="5965000"/>
    <n v="30000000"/>
    <x v="61"/>
    <n v="24044690"/>
    <n v="0"/>
    <n v="0"/>
    <n v="8"/>
    <n v="15"/>
    <x v="6"/>
  </r>
  <r>
    <n v="1121873295"/>
    <x v="4"/>
    <n v="2"/>
    <n v="6"/>
    <n v="1"/>
    <n v="7505000"/>
    <n v="126200000"/>
    <x v="1"/>
    <n v="71410000"/>
    <n v="0"/>
    <n v="4"/>
    <n v="2"/>
    <n v="9"/>
    <x v="8"/>
  </r>
  <r>
    <n v="38656544"/>
    <x v="51"/>
    <n v="1"/>
    <n v="5"/>
    <n v="0"/>
    <n v="10025000"/>
    <n v="115000000"/>
    <x v="1"/>
    <n v="96243338"/>
    <n v="0"/>
    <n v="3"/>
    <n v="4"/>
    <n v="6"/>
    <x v="1"/>
  </r>
  <r>
    <n v="43636947"/>
    <x v="70"/>
    <n v="1"/>
    <n v="8"/>
    <n v="3"/>
    <n v="1230000"/>
    <n v="35000000"/>
    <x v="1"/>
    <n v="66806000"/>
    <n v="0"/>
    <n v="0"/>
    <n v="3"/>
    <n v="0"/>
    <x v="3"/>
  </r>
  <r>
    <n v="53053512"/>
    <x v="73"/>
    <n v="0"/>
    <n v="0"/>
    <n v="0"/>
    <n v="0"/>
    <n v="-9300000"/>
    <x v="1"/>
    <n v="1883550"/>
    <n v="0"/>
    <n v="0"/>
    <n v="1"/>
    <n v="0"/>
    <x v="4"/>
  </r>
  <r>
    <n v="1031165003"/>
    <x v="20"/>
    <n v="3"/>
    <n v="5"/>
    <n v="4"/>
    <n v="985524"/>
    <n v="9200000"/>
    <x v="1"/>
    <n v="54585278"/>
    <n v="0"/>
    <n v="0"/>
    <n v="2"/>
    <n v="1"/>
    <x v="5"/>
  </r>
  <r>
    <n v="32728324"/>
    <x v="74"/>
    <n v="0"/>
    <n v="12"/>
    <n v="1"/>
    <n v="3260000"/>
    <n v="47600000"/>
    <x v="1"/>
    <n v="19962000"/>
    <n v="0"/>
    <n v="4"/>
    <n v="11"/>
    <n v="6"/>
    <x v="2"/>
  </r>
  <r>
    <n v="1019078302"/>
    <x v="36"/>
    <n v="3"/>
    <n v="11"/>
    <n v="5"/>
    <n v="3690000"/>
    <n v="67500000"/>
    <x v="62"/>
    <n v="58063330"/>
    <n v="0"/>
    <n v="0"/>
    <n v="0"/>
    <n v="0"/>
    <x v="1"/>
  </r>
  <r>
    <n v="1053814651"/>
    <x v="35"/>
    <n v="2"/>
    <n v="17"/>
    <n v="5"/>
    <n v="9655000"/>
    <n v="78542000"/>
    <x v="63"/>
    <n v="93418670"/>
    <n v="0"/>
    <n v="9"/>
    <n v="13"/>
    <n v="13"/>
    <x v="1"/>
  </r>
  <r>
    <n v="1000774106"/>
    <x v="58"/>
    <n v="5"/>
    <n v="8"/>
    <n v="2"/>
    <n v="7125888.666666667"/>
    <n v="82200000"/>
    <x v="1"/>
    <n v="51316423"/>
    <n v="0"/>
    <n v="6"/>
    <n v="18"/>
    <n v="5"/>
    <x v="1"/>
  </r>
  <r>
    <n v="31031818"/>
    <x v="75"/>
    <n v="2"/>
    <n v="4"/>
    <n v="1"/>
    <n v="3875000"/>
    <n v="127000000"/>
    <x v="1"/>
    <n v="0"/>
    <n v="0"/>
    <n v="3"/>
    <n v="4"/>
    <n v="4"/>
    <x v="0"/>
  </r>
  <r>
    <n v="1023012625"/>
    <x v="72"/>
    <n v="5"/>
    <n v="6"/>
    <n v="1"/>
    <n v="683058.16666666651"/>
    <n v="43900000"/>
    <x v="10"/>
    <n v="51297520"/>
    <n v="0"/>
    <n v="5"/>
    <n v="4"/>
    <n v="8"/>
    <x v="5"/>
  </r>
  <r>
    <n v="1030538055"/>
    <x v="61"/>
    <n v="1"/>
    <n v="3"/>
    <n v="1"/>
    <n v="1584892.6666666667"/>
    <n v="2700000"/>
    <x v="1"/>
    <n v="4449283"/>
    <n v="0"/>
    <n v="0"/>
    <n v="3"/>
    <n v="0"/>
    <x v="4"/>
  </r>
  <r>
    <n v="52919443"/>
    <x v="33"/>
    <n v="2"/>
    <n v="12"/>
    <n v="3"/>
    <n v="205000"/>
    <n v="75000000"/>
    <x v="16"/>
    <n v="45659742"/>
    <n v="0"/>
    <n v="1"/>
    <n v="12"/>
    <n v="3"/>
    <x v="2"/>
  </r>
  <r>
    <n v="1072654011"/>
    <x v="26"/>
    <n v="4"/>
    <n v="11"/>
    <n v="0"/>
    <n v="2460000"/>
    <n v="164000000"/>
    <x v="21"/>
    <n v="18197186"/>
    <n v="0"/>
    <n v="1"/>
    <n v="1"/>
    <n v="0"/>
    <x v="6"/>
  </r>
  <r>
    <n v="1045737784"/>
    <x v="21"/>
    <n v="3"/>
    <n v="6"/>
    <n v="0"/>
    <n v="1415000"/>
    <n v="15000000"/>
    <x v="1"/>
    <n v="25734000"/>
    <n v="0"/>
    <n v="2"/>
    <n v="2"/>
    <n v="2"/>
    <x v="3"/>
  </r>
  <r>
    <n v="1192736011"/>
    <x v="13"/>
    <n v="1"/>
    <n v="15"/>
    <n v="4"/>
    <n v="13748136"/>
    <n v="112400000"/>
    <x v="43"/>
    <n v="85443000"/>
    <n v="0"/>
    <n v="4"/>
    <n v="7"/>
    <n v="3"/>
    <x v="8"/>
  </r>
  <r>
    <n v="1049624001"/>
    <x v="38"/>
    <n v="1"/>
    <n v="1"/>
    <n v="4"/>
    <n v="10025000"/>
    <n v="93500000"/>
    <x v="1"/>
    <n v="49116891"/>
    <n v="0"/>
    <n v="3"/>
    <n v="3"/>
    <n v="3"/>
    <x v="2"/>
  </r>
  <r>
    <n v="1067855981"/>
    <x v="0"/>
    <n v="1"/>
    <n v="12"/>
    <n v="1"/>
    <n v="6410430.166666667"/>
    <n v="77100000"/>
    <x v="1"/>
    <n v="24938075"/>
    <n v="0"/>
    <n v="1"/>
    <n v="5"/>
    <n v="6"/>
    <x v="3"/>
  </r>
  <r>
    <n v="34325898"/>
    <x v="76"/>
    <n v="2"/>
    <n v="6"/>
    <n v="0"/>
    <n v="3445000"/>
    <n v="86750000"/>
    <x v="1"/>
    <n v="47410203"/>
    <n v="0"/>
    <n v="2"/>
    <n v="5"/>
    <n v="4"/>
    <x v="0"/>
  </r>
  <r>
    <n v="1110588149"/>
    <x v="77"/>
    <n v="8"/>
    <n v="6"/>
    <n v="2"/>
    <n v="6598000"/>
    <n v="66200000"/>
    <x v="64"/>
    <n v="21071000"/>
    <n v="0"/>
    <n v="3"/>
    <n v="7"/>
    <n v="4"/>
    <x v="5"/>
  </r>
  <r>
    <n v="1022414613"/>
    <x v="66"/>
    <n v="2"/>
    <n v="0"/>
    <n v="1"/>
    <n v="0"/>
    <n v="20000000"/>
    <x v="1"/>
    <n v="12516000"/>
    <n v="0"/>
    <n v="1"/>
    <n v="0"/>
    <n v="0"/>
    <x v="7"/>
  </r>
  <r>
    <n v="52218341"/>
    <x v="10"/>
    <n v="2"/>
    <n v="12"/>
    <n v="5"/>
    <n v="1628013.75"/>
    <n v="111100000"/>
    <x v="65"/>
    <n v="113366000"/>
    <n v="0"/>
    <n v="2"/>
    <n v="5"/>
    <n v="5"/>
    <x v="1"/>
  </r>
  <r>
    <n v="1030633656"/>
    <x v="24"/>
    <n v="2"/>
    <n v="5"/>
    <n v="1"/>
    <n v="0"/>
    <n v="0"/>
    <x v="66"/>
    <n v="43253292"/>
    <n v="0"/>
    <n v="1"/>
    <n v="9"/>
    <n v="3"/>
    <x v="1"/>
  </r>
  <r>
    <n v="1067888710"/>
    <x v="78"/>
    <n v="2"/>
    <n v="15"/>
    <n v="0"/>
    <n v="615000"/>
    <n v="11000000"/>
    <x v="1"/>
    <n v="27428700"/>
    <n v="0"/>
    <n v="3"/>
    <n v="9"/>
    <n v="15"/>
    <x v="2"/>
  </r>
  <r>
    <n v="1033686889"/>
    <x v="13"/>
    <n v="6"/>
    <n v="9"/>
    <n v="13"/>
    <n v="7542775.833333333"/>
    <n v="32400000"/>
    <x v="67"/>
    <n v="49032417"/>
    <n v="0"/>
    <n v="7"/>
    <n v="17"/>
    <n v="16"/>
    <x v="6"/>
  </r>
  <r>
    <n v="52760661"/>
    <x v="79"/>
    <n v="0"/>
    <n v="6"/>
    <n v="2"/>
    <n v="3736290"/>
    <n v="11000000"/>
    <x v="68"/>
    <n v="9082039"/>
    <n v="0"/>
    <n v="3"/>
    <n v="8"/>
    <n v="8"/>
    <x v="0"/>
  </r>
  <r>
    <n v="1110546371"/>
    <x v="2"/>
    <n v="4"/>
    <n v="4"/>
    <n v="0"/>
    <n v="5350000"/>
    <n v="75500000"/>
    <x v="69"/>
    <n v="62360000"/>
    <n v="0"/>
    <n v="3"/>
    <n v="4"/>
    <n v="3"/>
    <x v="7"/>
  </r>
  <r>
    <n v="37547801"/>
    <x v="14"/>
    <n v="2"/>
    <n v="8"/>
    <n v="3"/>
    <n v="3505000"/>
    <n v="10200000"/>
    <x v="1"/>
    <n v="36049920"/>
    <n v="0"/>
    <n v="2"/>
    <n v="11"/>
    <n v="5"/>
    <x v="7"/>
  </r>
  <r>
    <n v="52932545"/>
    <x v="80"/>
    <n v="4"/>
    <n v="6"/>
    <n v="1"/>
    <n v="8628000"/>
    <n v="86000000"/>
    <x v="1"/>
    <n v="56637222"/>
    <n v="0"/>
    <n v="2"/>
    <n v="9"/>
    <n v="5"/>
    <x v="7"/>
  </r>
  <r>
    <n v="1019072823"/>
    <x v="73"/>
    <n v="1"/>
    <n v="2"/>
    <n v="0"/>
    <n v="0"/>
    <n v="0"/>
    <x v="1"/>
    <n v="0"/>
    <n v="0"/>
    <n v="0"/>
    <n v="0"/>
    <n v="0"/>
    <x v="2"/>
  </r>
  <r>
    <n v="1039447320"/>
    <x v="54"/>
    <n v="3"/>
    <n v="5"/>
    <n v="5"/>
    <n v="8720698.666666666"/>
    <n v="122100000"/>
    <x v="1"/>
    <n v="68339856"/>
    <n v="0"/>
    <n v="5"/>
    <n v="16"/>
    <n v="10"/>
    <x v="7"/>
  </r>
  <r>
    <n v="1037632050"/>
    <x v="38"/>
    <n v="2"/>
    <n v="12"/>
    <n v="5"/>
    <n v="9840000"/>
    <n v="142000000"/>
    <x v="70"/>
    <n v="45650455"/>
    <n v="0"/>
    <n v="4"/>
    <n v="9"/>
    <n v="9"/>
    <x v="3"/>
  </r>
  <r>
    <n v="1020441734"/>
    <x v="61"/>
    <n v="1"/>
    <n v="3"/>
    <n v="1"/>
    <n v="3690000"/>
    <n v="158400000"/>
    <x v="58"/>
    <n v="137406000"/>
    <n v="31592000"/>
    <n v="1"/>
    <n v="3"/>
    <n v="1"/>
    <x v="0"/>
  </r>
  <r>
    <n v="5824284"/>
    <x v="1"/>
    <n v="5"/>
    <n v="5"/>
    <n v="2"/>
    <n v="3690000"/>
    <n v="88850000"/>
    <x v="1"/>
    <n v="46650093"/>
    <n v="0"/>
    <n v="6"/>
    <n v="6"/>
    <n v="7"/>
    <x v="2"/>
  </r>
  <r>
    <n v="1128473381"/>
    <x v="81"/>
    <n v="0"/>
    <n v="8"/>
    <n v="5"/>
    <n v="3133000"/>
    <n v="23300000"/>
    <x v="1"/>
    <n v="222157500"/>
    <n v="0"/>
    <n v="4"/>
    <n v="5"/>
    <n v="4"/>
    <x v="3"/>
  </r>
  <r>
    <n v="1033756294"/>
    <x v="39"/>
    <n v="1"/>
    <n v="12"/>
    <n v="4"/>
    <n v="9655000"/>
    <n v="32451768.449999996"/>
    <x v="1"/>
    <n v="18482000"/>
    <n v="0"/>
    <n v="5"/>
    <n v="21"/>
    <n v="10"/>
    <x v="2"/>
  </r>
  <r>
    <n v="1044423436"/>
    <x v="42"/>
    <n v="0"/>
    <n v="8"/>
    <n v="6"/>
    <n v="3757566.8333333335"/>
    <n v="70900000"/>
    <x v="1"/>
    <n v="91873922"/>
    <n v="0"/>
    <n v="3"/>
    <n v="10"/>
    <n v="8"/>
    <x v="3"/>
  </r>
  <r>
    <n v="1098310948"/>
    <x v="82"/>
    <n v="4"/>
    <n v="11"/>
    <n v="4"/>
    <n v="6528613"/>
    <n v="82977361.590000004"/>
    <x v="71"/>
    <n v="174848408"/>
    <n v="0"/>
    <n v="5"/>
    <n v="5"/>
    <n v="6"/>
    <x v="8"/>
  </r>
  <r>
    <n v="28559553"/>
    <x v="73"/>
    <n v="0"/>
    <n v="0"/>
    <n v="0"/>
    <n v="0"/>
    <n v="0"/>
    <x v="1"/>
    <n v="0"/>
    <n v="0"/>
    <n v="0"/>
    <n v="0"/>
    <n v="0"/>
    <x v="2"/>
  </r>
  <r>
    <n v="1088318521"/>
    <x v="32"/>
    <n v="6"/>
    <n v="14"/>
    <n v="8"/>
    <n v="11313000"/>
    <n v="77000000"/>
    <x v="1"/>
    <n v="62560000"/>
    <n v="0"/>
    <n v="7"/>
    <n v="12"/>
    <n v="11"/>
    <x v="1"/>
  </r>
  <r>
    <n v="1012412351"/>
    <x v="6"/>
    <n v="2"/>
    <n v="12"/>
    <n v="2"/>
    <n v="7380000"/>
    <n v="56325384.420000002"/>
    <x v="1"/>
    <n v="75817653"/>
    <n v="0"/>
    <n v="4"/>
    <n v="6"/>
    <n v="13"/>
    <x v="6"/>
  </r>
  <r>
    <n v="94516890"/>
    <x v="83"/>
    <n v="1"/>
    <n v="6"/>
    <n v="0"/>
    <n v="1845000"/>
    <n v="43600000"/>
    <x v="1"/>
    <n v="41403496"/>
    <n v="0"/>
    <n v="3"/>
    <n v="3"/>
    <n v="3"/>
    <x v="3"/>
  </r>
  <r>
    <n v="36313483"/>
    <x v="73"/>
    <n v="0"/>
    <n v="0"/>
    <n v="0"/>
    <n v="0"/>
    <n v="0"/>
    <x v="1"/>
    <n v="0"/>
    <n v="0"/>
    <n v="1"/>
    <n v="1"/>
    <n v="1"/>
    <x v="6"/>
  </r>
  <r>
    <n v="1024462932"/>
    <x v="49"/>
    <n v="6"/>
    <n v="10"/>
    <n v="17"/>
    <n v="6067500"/>
    <n v="83250000"/>
    <x v="72"/>
    <n v="72111766"/>
    <n v="0"/>
    <n v="4"/>
    <n v="2"/>
    <n v="5"/>
    <x v="7"/>
  </r>
  <r>
    <n v="1122124840"/>
    <x v="69"/>
    <n v="3"/>
    <n v="11"/>
    <n v="2"/>
    <n v="3752876.8333333335"/>
    <n v="42000000"/>
    <x v="1"/>
    <n v="25169000"/>
    <n v="0"/>
    <n v="4"/>
    <n v="8"/>
    <n v="5"/>
    <x v="3"/>
  </r>
  <r>
    <n v="1033776499"/>
    <x v="17"/>
    <n v="3"/>
    <n v="3"/>
    <n v="0"/>
    <n v="1415000"/>
    <n v="14500000"/>
    <x v="49"/>
    <n v="12028000"/>
    <n v="0"/>
    <n v="2"/>
    <n v="2"/>
    <n v="0"/>
    <x v="8"/>
  </r>
  <r>
    <n v="1095938036"/>
    <x v="56"/>
    <n v="3"/>
    <n v="9"/>
    <n v="0"/>
    <n v="5720000"/>
    <n v="45729391.460000001"/>
    <x v="1"/>
    <n v="73071587"/>
    <n v="0"/>
    <n v="5"/>
    <n v="4"/>
    <n v="2"/>
    <x v="5"/>
  </r>
  <r>
    <n v="98641807"/>
    <x v="36"/>
    <n v="2"/>
    <n v="8"/>
    <n v="1"/>
    <n v="615000"/>
    <n v="9600000"/>
    <x v="1"/>
    <n v="53321000"/>
    <n v="0"/>
    <n v="4"/>
    <n v="6"/>
    <n v="1"/>
    <x v="0"/>
  </r>
  <r>
    <n v="1026251399"/>
    <x v="73"/>
    <n v="0"/>
    <n v="0"/>
    <n v="0"/>
    <n v="0"/>
    <n v="0"/>
    <x v="1"/>
    <n v="0"/>
    <n v="0"/>
    <n v="0"/>
    <n v="0"/>
    <n v="0"/>
    <x v="4"/>
  </r>
  <r>
    <n v="37088011"/>
    <x v="9"/>
    <n v="7"/>
    <n v="16"/>
    <n v="2"/>
    <n v="5914000"/>
    <n v="55800000"/>
    <x v="5"/>
    <n v="111773023"/>
    <n v="103500000"/>
    <n v="0"/>
    <n v="4"/>
    <n v="13"/>
    <x v="8"/>
  </r>
  <r>
    <n v="52821424"/>
    <x v="50"/>
    <n v="3"/>
    <n v="17"/>
    <n v="3"/>
    <n v="12006131.5"/>
    <n v="68000000"/>
    <x v="36"/>
    <n v="110215350"/>
    <n v="0"/>
    <n v="2"/>
    <n v="8"/>
    <n v="5"/>
    <x v="5"/>
  </r>
  <r>
    <n v="1014265758"/>
    <x v="32"/>
    <n v="3"/>
    <n v="12"/>
    <n v="3"/>
    <n v="4735000"/>
    <n v="93055649.390000001"/>
    <x v="1"/>
    <n v="85282339"/>
    <n v="0"/>
    <n v="5"/>
    <n v="8"/>
    <n v="2"/>
    <x v="5"/>
  </r>
  <r>
    <n v="65752276"/>
    <x v="84"/>
    <n v="1"/>
    <n v="16"/>
    <n v="0"/>
    <n v="8240000"/>
    <n v="95911121.599999994"/>
    <x v="5"/>
    <n v="108446226"/>
    <n v="0"/>
    <n v="6"/>
    <n v="10"/>
    <n v="15"/>
    <x v="3"/>
  </r>
  <r>
    <n v="1115067117"/>
    <x v="43"/>
    <n v="4"/>
    <n v="12"/>
    <n v="9"/>
    <n v="12485000"/>
    <n v="181900000"/>
    <x v="1"/>
    <n v="76415043"/>
    <n v="0"/>
    <n v="14"/>
    <n v="16"/>
    <n v="15"/>
    <x v="5"/>
  </r>
  <r>
    <n v="1023917311"/>
    <x v="85"/>
    <n v="5"/>
    <n v="7"/>
    <n v="4"/>
    <n v="4962500"/>
    <n v="47300000"/>
    <x v="1"/>
    <n v="47623012"/>
    <n v="0"/>
    <n v="4"/>
    <n v="4"/>
    <n v="6"/>
    <x v="1"/>
  </r>
  <r>
    <n v="1129578041"/>
    <x v="5"/>
    <n v="3"/>
    <n v="4"/>
    <n v="4"/>
    <n v="4621666.666666667"/>
    <n v="75000000"/>
    <x v="1"/>
    <n v="50128172"/>
    <n v="0"/>
    <n v="1"/>
    <n v="7"/>
    <n v="3"/>
    <x v="5"/>
  </r>
  <r>
    <n v="1015407301"/>
    <x v="10"/>
    <n v="1"/>
    <n v="10"/>
    <n v="7"/>
    <n v="6067500"/>
    <n v="79500000"/>
    <x v="21"/>
    <n v="96376000"/>
    <n v="0"/>
    <n v="2"/>
    <n v="8"/>
    <n v="1"/>
    <x v="6"/>
  </r>
  <r>
    <n v="52018557"/>
    <x v="84"/>
    <n v="2"/>
    <n v="5"/>
    <n v="6"/>
    <n v="1415000"/>
    <n v="50000000"/>
    <x v="1"/>
    <n v="66714997"/>
    <n v="0"/>
    <n v="2"/>
    <n v="6"/>
    <n v="2"/>
    <x v="0"/>
  </r>
  <r>
    <n v="1016009921"/>
    <x v="20"/>
    <n v="5"/>
    <n v="7"/>
    <n v="2"/>
    <n v="3690000"/>
    <n v="141261586.09"/>
    <x v="73"/>
    <n v="38259200"/>
    <n v="0"/>
    <n v="3"/>
    <n v="6"/>
    <n v="1"/>
    <x v="2"/>
  </r>
  <r>
    <n v="1019067657"/>
    <x v="14"/>
    <n v="7"/>
    <n v="15"/>
    <n v="1"/>
    <n v="4490000"/>
    <n v="10000000"/>
    <x v="58"/>
    <n v="93721952"/>
    <n v="0"/>
    <n v="3"/>
    <n v="8"/>
    <n v="3"/>
    <x v="7"/>
  </r>
  <r>
    <n v="1098660043"/>
    <x v="86"/>
    <n v="2"/>
    <n v="0"/>
    <n v="2"/>
    <n v="2890000"/>
    <n v="15000000"/>
    <x v="1"/>
    <n v="19327573"/>
    <n v="47700000"/>
    <n v="0"/>
    <n v="0"/>
    <n v="0"/>
    <x v="1"/>
  </r>
  <r>
    <n v="1015401515"/>
    <x v="7"/>
    <n v="1"/>
    <n v="10"/>
    <n v="5"/>
    <n v="3445000"/>
    <n v="44000000"/>
    <x v="1"/>
    <n v="50572080"/>
    <n v="0"/>
    <n v="0"/>
    <n v="4"/>
    <n v="1"/>
    <x v="1"/>
  </r>
  <r>
    <n v="38360495"/>
    <x v="55"/>
    <n v="2"/>
    <n v="12"/>
    <n v="4"/>
    <n v="6908206"/>
    <n v="76950000"/>
    <x v="5"/>
    <n v="127256693"/>
    <n v="0"/>
    <n v="8"/>
    <n v="10"/>
    <n v="14"/>
    <x v="2"/>
  </r>
  <r>
    <n v="1017184760"/>
    <x v="87"/>
    <n v="1"/>
    <n v="7"/>
    <n v="1"/>
    <n v="2970500"/>
    <n v="6000000"/>
    <x v="74"/>
    <n v="21200576"/>
    <n v="0"/>
    <n v="0"/>
    <n v="5"/>
    <n v="6"/>
    <x v="4"/>
  </r>
  <r>
    <n v="1077855133"/>
    <x v="73"/>
    <n v="0"/>
    <n v="0"/>
    <n v="0"/>
    <n v="0"/>
    <n v="0"/>
    <x v="1"/>
    <n v="0"/>
    <n v="0"/>
    <n v="0"/>
    <n v="0"/>
    <n v="0"/>
    <x v="8"/>
  </r>
  <r>
    <n v="1031134500"/>
    <x v="65"/>
    <n v="5"/>
    <n v="7"/>
    <n v="5"/>
    <n v="8180000"/>
    <n v="111500000"/>
    <x v="75"/>
    <n v="49990482"/>
    <n v="0"/>
    <n v="5"/>
    <n v="10"/>
    <n v="8"/>
    <x v="6"/>
  </r>
  <r>
    <n v="1053833641"/>
    <x v="88"/>
    <n v="0"/>
    <n v="2"/>
    <n v="4"/>
    <n v="1845000"/>
    <n v="50000000"/>
    <x v="1"/>
    <n v="8183000"/>
    <n v="0"/>
    <n v="1"/>
    <n v="3"/>
    <n v="2"/>
    <x v="7"/>
  </r>
  <r>
    <n v="1044422356"/>
    <x v="65"/>
    <n v="0"/>
    <n v="11"/>
    <n v="3"/>
    <n v="2562500"/>
    <n v="27100000"/>
    <x v="76"/>
    <n v="72544070"/>
    <n v="0"/>
    <n v="2"/>
    <n v="5"/>
    <n v="8"/>
    <x v="5"/>
  </r>
  <r>
    <n v="29286986"/>
    <x v="50"/>
    <n v="6"/>
    <n v="9"/>
    <n v="2"/>
    <n v="7955940.666666667"/>
    <n v="104820000"/>
    <x v="49"/>
    <n v="110477209"/>
    <n v="0"/>
    <n v="8"/>
    <n v="9"/>
    <n v="8"/>
    <x v="5"/>
  </r>
  <r>
    <n v="1098658423"/>
    <x v="51"/>
    <n v="2"/>
    <n v="15"/>
    <n v="1"/>
    <n v="9738705.5"/>
    <n v="98500000"/>
    <x v="1"/>
    <n v="71434136"/>
    <n v="0"/>
    <n v="3"/>
    <n v="13"/>
    <n v="5"/>
    <x v="6"/>
  </r>
  <r>
    <n v="1017187072"/>
    <x v="56"/>
    <n v="2"/>
    <n v="6"/>
    <n v="5"/>
    <n v="8325000"/>
    <n v="56000000"/>
    <x v="1"/>
    <n v="51598151"/>
    <n v="0"/>
    <n v="1"/>
    <n v="5"/>
    <n v="1"/>
    <x v="7"/>
  </r>
  <r>
    <n v="28191995"/>
    <x v="83"/>
    <n v="3"/>
    <n v="10"/>
    <n v="8"/>
    <n v="7195000"/>
    <n v="62500000"/>
    <x v="77"/>
    <n v="62406933"/>
    <n v="0"/>
    <n v="1"/>
    <n v="2"/>
    <n v="2"/>
    <x v="5"/>
  </r>
  <r>
    <n v="1019081634"/>
    <x v="26"/>
    <n v="1"/>
    <n v="9"/>
    <n v="1"/>
    <n v="3075000"/>
    <n v="7300000"/>
    <x v="1"/>
    <n v="17142026"/>
    <n v="0"/>
    <n v="0"/>
    <n v="1"/>
    <n v="0"/>
    <x v="4"/>
  </r>
  <r>
    <n v="1100955720"/>
    <x v="28"/>
    <n v="4"/>
    <n v="8"/>
    <n v="0"/>
    <n v="7995000"/>
    <n v="106900000"/>
    <x v="78"/>
    <n v="16267000"/>
    <n v="0"/>
    <n v="2"/>
    <n v="6"/>
    <n v="0"/>
    <x v="3"/>
  </r>
  <r>
    <n v="1057544312"/>
    <x v="75"/>
    <n v="7"/>
    <n v="4"/>
    <n v="4"/>
    <n v="8240000"/>
    <n v="129199999.99999999"/>
    <x v="1"/>
    <n v="45919577"/>
    <n v="0"/>
    <n v="7"/>
    <n v="8"/>
    <n v="5"/>
    <x v="8"/>
  </r>
  <r>
    <n v="98482964"/>
    <x v="2"/>
    <n v="1"/>
    <n v="12"/>
    <n v="6"/>
    <n v="5775500"/>
    <n v="47752096.840000004"/>
    <x v="79"/>
    <n v="105980756"/>
    <n v="0"/>
    <n v="5"/>
    <n v="13"/>
    <n v="11"/>
    <x v="7"/>
  </r>
  <r>
    <n v="1070752003"/>
    <x v="55"/>
    <n v="4"/>
    <n v="16"/>
    <n v="5"/>
    <n v="7215000"/>
    <n v="58100000"/>
    <x v="1"/>
    <n v="43516871"/>
    <n v="0"/>
    <n v="4"/>
    <n v="22"/>
    <n v="4"/>
    <x v="5"/>
  </r>
  <r>
    <n v="1140816983"/>
    <x v="52"/>
    <n v="0"/>
    <n v="7"/>
    <n v="1"/>
    <n v="5105000"/>
    <n v="30000000"/>
    <x v="1"/>
    <n v="56168726"/>
    <n v="30000000"/>
    <n v="1"/>
    <n v="7"/>
    <n v="1"/>
    <x v="2"/>
  </r>
  <r>
    <n v="1018431873"/>
    <x v="19"/>
    <n v="0"/>
    <n v="5"/>
    <n v="2"/>
    <n v="5250000"/>
    <n v="41200000"/>
    <x v="80"/>
    <n v="74485800"/>
    <n v="0"/>
    <n v="0"/>
    <n v="9"/>
    <n v="1"/>
    <x v="8"/>
  </r>
  <r>
    <n v="1144061668"/>
    <x v="19"/>
    <n v="0"/>
    <n v="5"/>
    <n v="0"/>
    <n v="4120000"/>
    <n v="92915000"/>
    <x v="81"/>
    <n v="21407000"/>
    <n v="0"/>
    <n v="5"/>
    <n v="8"/>
    <n v="8"/>
    <x v="2"/>
  </r>
  <r>
    <n v="1035852910"/>
    <x v="40"/>
    <n v="3"/>
    <n v="10"/>
    <n v="4"/>
    <n v="2130209.5"/>
    <n v="87300000"/>
    <x v="10"/>
    <n v="78091906"/>
    <n v="0"/>
    <n v="5"/>
    <n v="9"/>
    <n v="5"/>
    <x v="6"/>
  </r>
  <r>
    <n v="1020782342"/>
    <x v="89"/>
    <n v="3"/>
    <n v="3"/>
    <n v="1"/>
    <n v="0"/>
    <n v="34200000"/>
    <x v="82"/>
    <n v="29193213"/>
    <n v="0"/>
    <n v="0"/>
    <n v="6"/>
    <n v="0"/>
    <x v="6"/>
  </r>
  <r>
    <n v="1053778051"/>
    <x v="84"/>
    <n v="4"/>
    <n v="12"/>
    <n v="2"/>
    <n v="7757166.666666667"/>
    <n v="87400000"/>
    <x v="58"/>
    <n v="134119000"/>
    <n v="0"/>
    <n v="10"/>
    <n v="12"/>
    <n v="11"/>
    <x v="0"/>
  </r>
  <r>
    <n v="1085255108"/>
    <x v="17"/>
    <n v="3"/>
    <n v="11"/>
    <n v="0"/>
    <n v="4920000"/>
    <n v="119437897.89000002"/>
    <x v="83"/>
    <n v="53460000"/>
    <n v="0"/>
    <n v="6"/>
    <n v="5"/>
    <n v="9"/>
    <x v="5"/>
  </r>
  <r>
    <n v="1094924323"/>
    <x v="84"/>
    <n v="4"/>
    <n v="12"/>
    <n v="4"/>
    <n v="7625000"/>
    <n v="99500000"/>
    <x v="84"/>
    <n v="36102000"/>
    <n v="0"/>
    <n v="3"/>
    <n v="10"/>
    <n v="7"/>
    <x v="5"/>
  </r>
  <r>
    <n v="1098665338"/>
    <x v="50"/>
    <n v="5"/>
    <n v="13"/>
    <n v="7"/>
    <n v="10395000"/>
    <n v="29689920"/>
    <x v="1"/>
    <n v="136581245"/>
    <n v="0"/>
    <n v="0"/>
    <n v="6"/>
    <n v="2"/>
    <x v="6"/>
  </r>
  <r>
    <n v="63255194"/>
    <x v="3"/>
    <n v="1"/>
    <n v="14"/>
    <n v="4"/>
    <n v="430000"/>
    <n v="5000000"/>
    <x v="74"/>
    <n v="54783710"/>
    <n v="0"/>
    <n v="1"/>
    <n v="2"/>
    <n v="0"/>
    <x v="5"/>
  </r>
  <r>
    <n v="1024546322"/>
    <x v="48"/>
    <n v="3"/>
    <n v="5"/>
    <n v="0"/>
    <n v="3260000"/>
    <n v="76400000"/>
    <x v="1"/>
    <n v="47599774"/>
    <n v="0"/>
    <n v="0"/>
    <n v="5"/>
    <n v="7"/>
    <x v="1"/>
  </r>
  <r>
    <n v="1076201127"/>
    <x v="0"/>
    <n v="10"/>
    <n v="3"/>
    <n v="6"/>
    <n v="1845000"/>
    <n v="16100000.000000002"/>
    <x v="1"/>
    <n v="88698052"/>
    <n v="0"/>
    <n v="0"/>
    <n v="1"/>
    <n v="0"/>
    <x v="2"/>
  </r>
  <r>
    <n v="52906413"/>
    <x v="67"/>
    <n v="5"/>
    <n v="14"/>
    <n v="2"/>
    <n v="9635672.5"/>
    <n v="50500000"/>
    <x v="1"/>
    <n v="55835760"/>
    <n v="0"/>
    <n v="3"/>
    <n v="9"/>
    <n v="9"/>
    <x v="3"/>
  </r>
  <r>
    <n v="63539151"/>
    <x v="90"/>
    <n v="2"/>
    <n v="4"/>
    <n v="3"/>
    <n v="-267984"/>
    <n v="0"/>
    <x v="1"/>
    <n v="8562000"/>
    <n v="0"/>
    <n v="0"/>
    <n v="0"/>
    <n v="0"/>
    <x v="6"/>
  </r>
  <r>
    <n v="1022943576"/>
    <x v="91"/>
    <n v="6"/>
    <n v="12"/>
    <n v="9"/>
    <n v="7380000"/>
    <n v="141000000"/>
    <x v="85"/>
    <n v="98229000"/>
    <n v="0"/>
    <n v="1"/>
    <n v="0"/>
    <n v="0"/>
    <x v="1"/>
  </r>
  <r>
    <n v="52542928"/>
    <x v="83"/>
    <n v="11"/>
    <n v="10"/>
    <n v="1"/>
    <n v="3398500"/>
    <n v="26200000"/>
    <x v="1"/>
    <n v="43492300"/>
    <n v="0"/>
    <n v="2"/>
    <n v="7"/>
    <n v="4"/>
    <x v="1"/>
  </r>
  <r>
    <n v="1110530481"/>
    <x v="34"/>
    <n v="4"/>
    <n v="7"/>
    <n v="3"/>
    <n v="4305000"/>
    <n v="86000000"/>
    <x v="86"/>
    <n v="69405400"/>
    <n v="0"/>
    <n v="2"/>
    <n v="4"/>
    <n v="1"/>
    <x v="6"/>
  </r>
  <r>
    <n v="1018488900"/>
    <x v="92"/>
    <n v="3"/>
    <n v="9"/>
    <n v="0"/>
    <n v="2460000"/>
    <n v="66230000.000000007"/>
    <x v="20"/>
    <n v="12006502"/>
    <n v="0"/>
    <n v="0"/>
    <n v="5"/>
    <n v="1"/>
    <x v="6"/>
  </r>
  <r>
    <n v="1098674803"/>
    <x v="93"/>
    <n v="3"/>
    <n v="1"/>
    <n v="0"/>
    <n v="1230000"/>
    <n v="50000000"/>
    <x v="1"/>
    <n v="69675000"/>
    <n v="0"/>
    <n v="0"/>
    <n v="10"/>
    <n v="1"/>
    <x v="8"/>
  </r>
  <r>
    <n v="1018491895"/>
    <x v="2"/>
    <n v="0"/>
    <n v="5"/>
    <n v="0"/>
    <n v="0"/>
    <n v="40300000"/>
    <x v="1"/>
    <n v="32677000"/>
    <n v="0"/>
    <n v="1"/>
    <n v="4"/>
    <n v="6"/>
    <x v="2"/>
  </r>
  <r>
    <n v="1095935246"/>
    <x v="6"/>
    <n v="2"/>
    <n v="12"/>
    <n v="0"/>
    <n v="1660000"/>
    <n v="37000000"/>
    <x v="1"/>
    <n v="19683510"/>
    <n v="0"/>
    <n v="6"/>
    <n v="19"/>
    <n v="8"/>
    <x v="7"/>
  </r>
  <r>
    <n v="1018500858"/>
    <x v="39"/>
    <n v="4"/>
    <n v="8"/>
    <n v="3"/>
    <n v="3320000"/>
    <n v="37300000"/>
    <x v="1"/>
    <n v="63027896"/>
    <n v="0"/>
    <n v="2"/>
    <n v="9"/>
    <n v="4"/>
    <x v="5"/>
  </r>
  <r>
    <n v="1121918685"/>
    <x v="34"/>
    <n v="0"/>
    <n v="8"/>
    <n v="2"/>
    <n v="7750000"/>
    <n v="86400000"/>
    <x v="1"/>
    <n v="109120445"/>
    <n v="0"/>
    <n v="5"/>
    <n v="8"/>
    <n v="5"/>
    <x v="7"/>
  </r>
  <r>
    <n v="1090447613"/>
    <x v="1"/>
    <n v="2"/>
    <n v="12"/>
    <n v="2"/>
    <n v="7195000"/>
    <n v="108160000"/>
    <x v="1"/>
    <n v="138178244"/>
    <n v="0"/>
    <n v="15"/>
    <n v="29"/>
    <n v="26"/>
    <x v="1"/>
  </r>
  <r>
    <n v="37002376"/>
    <x v="94"/>
    <n v="33"/>
    <n v="5"/>
    <n v="0"/>
    <n v="3690000"/>
    <n v="39900000"/>
    <x v="1"/>
    <n v="16424000"/>
    <n v="0"/>
    <n v="1"/>
    <n v="4"/>
    <n v="5"/>
    <x v="1"/>
  </r>
  <r>
    <n v="41915400"/>
    <x v="67"/>
    <n v="5"/>
    <n v="9"/>
    <n v="6"/>
    <n v="7380000"/>
    <n v="160770000"/>
    <x v="1"/>
    <n v="87977200"/>
    <n v="0"/>
    <n v="3"/>
    <n v="2"/>
    <n v="4"/>
    <x v="1"/>
  </r>
  <r>
    <n v="1017214837"/>
    <x v="81"/>
    <n v="2"/>
    <n v="5"/>
    <n v="10"/>
    <n v="11656750"/>
    <n v="107200000"/>
    <x v="87"/>
    <n v="75785075"/>
    <n v="0"/>
    <n v="5"/>
    <n v="8"/>
    <n v="8"/>
    <x v="0"/>
  </r>
  <r>
    <n v="1012392841"/>
    <x v="0"/>
    <n v="2"/>
    <n v="5"/>
    <n v="2"/>
    <n v="4037500"/>
    <n v="16000000"/>
    <x v="1"/>
    <n v="36173786"/>
    <n v="0"/>
    <n v="0"/>
    <n v="11"/>
    <n v="1"/>
    <x v="4"/>
  </r>
  <r>
    <n v="8055804"/>
    <x v="89"/>
    <n v="4"/>
    <n v="9"/>
    <n v="6"/>
    <n v="8933333.3333333321"/>
    <n v="57700000"/>
    <x v="1"/>
    <n v="48632451"/>
    <n v="0"/>
    <n v="7"/>
    <n v="9"/>
    <n v="10"/>
    <x v="1"/>
  </r>
  <r>
    <n v="1233890202"/>
    <x v="48"/>
    <n v="6"/>
    <n v="2"/>
    <n v="1"/>
    <n v="4675000"/>
    <n v="36900000"/>
    <x v="1"/>
    <n v="500000"/>
    <n v="0"/>
    <n v="3"/>
    <n v="14"/>
    <n v="9"/>
    <x v="7"/>
  </r>
  <r>
    <n v="51799085"/>
    <x v="45"/>
    <n v="5"/>
    <n v="6"/>
    <n v="14"/>
    <n v="7810000"/>
    <n v="44700000"/>
    <x v="88"/>
    <n v="64505164"/>
    <n v="0"/>
    <n v="1"/>
    <n v="9"/>
    <n v="5"/>
    <x v="7"/>
  </r>
  <r>
    <n v="1033784452"/>
    <x v="17"/>
    <n v="3"/>
    <n v="13"/>
    <n v="1"/>
    <n v="6891816.75"/>
    <n v="69300000"/>
    <x v="89"/>
    <n v="27413000"/>
    <n v="0"/>
    <n v="13"/>
    <n v="16"/>
    <n v="12"/>
    <x v="3"/>
  </r>
  <r>
    <n v="1030552786"/>
    <x v="19"/>
    <n v="1"/>
    <n v="3"/>
    <n v="3"/>
    <n v="5424223.5"/>
    <n v="12000000"/>
    <x v="90"/>
    <n v="37230000"/>
    <n v="0"/>
    <n v="0"/>
    <n v="2"/>
    <n v="6"/>
    <x v="4"/>
  </r>
  <r>
    <n v="1140846801"/>
    <x v="37"/>
    <n v="0"/>
    <n v="2"/>
    <n v="1"/>
    <n v="1230000"/>
    <n v="38000000"/>
    <x v="1"/>
    <n v="5682232"/>
    <n v="0"/>
    <n v="2"/>
    <n v="3"/>
    <n v="0"/>
    <x v="3"/>
  </r>
  <r>
    <n v="1032404165"/>
    <x v="17"/>
    <n v="4"/>
    <n v="14"/>
    <n v="2"/>
    <n v="1881000"/>
    <n v="79800000"/>
    <x v="1"/>
    <n v="13270000"/>
    <n v="0"/>
    <n v="8"/>
    <n v="10"/>
    <n v="7"/>
    <x v="0"/>
  </r>
  <r>
    <n v="1214715191"/>
    <x v="65"/>
    <n v="4"/>
    <n v="12"/>
    <n v="5"/>
    <n v="3177500"/>
    <n v="86200000"/>
    <x v="19"/>
    <n v="83902064"/>
    <n v="0"/>
    <n v="1"/>
    <n v="5"/>
    <n v="3"/>
    <x v="7"/>
  </r>
  <r>
    <n v="1016032693"/>
    <x v="86"/>
    <n v="0"/>
    <n v="2"/>
    <n v="5"/>
    <n v="1415000"/>
    <n v="6000000"/>
    <x v="1"/>
    <n v="8347700"/>
    <n v="0"/>
    <n v="2"/>
    <n v="1"/>
    <n v="4"/>
    <x v="5"/>
  </r>
  <r>
    <n v="24049457"/>
    <x v="63"/>
    <n v="3"/>
    <n v="14"/>
    <n v="5"/>
    <n v="5720000"/>
    <n v="49000000"/>
    <x v="1"/>
    <n v="118356436"/>
    <n v="0"/>
    <n v="2"/>
    <n v="2"/>
    <n v="2"/>
    <x v="6"/>
  </r>
  <r>
    <n v="1022421705"/>
    <x v="10"/>
    <n v="2"/>
    <n v="9"/>
    <n v="2"/>
    <n v="4550000"/>
    <n v="25500000"/>
    <x v="1"/>
    <n v="44553077"/>
    <n v="0"/>
    <n v="0"/>
    <n v="5"/>
    <n v="0"/>
    <x v="5"/>
  </r>
  <r>
    <n v="1140856648"/>
    <x v="85"/>
    <n v="1"/>
    <n v="3"/>
    <n v="0"/>
    <n v="2460000"/>
    <n v="54700000"/>
    <x v="1"/>
    <n v="74676467"/>
    <n v="0"/>
    <n v="1"/>
    <n v="1"/>
    <n v="8"/>
    <x v="3"/>
  </r>
  <r>
    <n v="52518082"/>
    <x v="26"/>
    <n v="6"/>
    <n v="12"/>
    <n v="2"/>
    <n v="5535000"/>
    <n v="79100000"/>
    <x v="91"/>
    <n v="58880774"/>
    <n v="0"/>
    <n v="3"/>
    <n v="11"/>
    <n v="5"/>
    <x v="1"/>
  </r>
  <r>
    <n v="1015401018"/>
    <x v="28"/>
    <n v="2"/>
    <n v="8"/>
    <n v="2"/>
    <n v="9655000"/>
    <n v="27616401.98"/>
    <x v="1"/>
    <n v="37694000"/>
    <n v="0"/>
    <n v="5"/>
    <n v="7"/>
    <n v="3"/>
    <x v="4"/>
  </r>
  <r>
    <n v="1026134714"/>
    <x v="81"/>
    <n v="2"/>
    <n v="12"/>
    <n v="0"/>
    <n v="6355000"/>
    <n v="87158913"/>
    <x v="1"/>
    <n v="133045202"/>
    <n v="0"/>
    <n v="1"/>
    <n v="2"/>
    <n v="1"/>
    <x v="8"/>
  </r>
  <r>
    <n v="1026285669"/>
    <x v="17"/>
    <n v="1"/>
    <n v="1"/>
    <n v="0"/>
    <n v="0"/>
    <n v="0"/>
    <x v="1"/>
    <n v="815000"/>
    <n v="0"/>
    <n v="0"/>
    <n v="0"/>
    <n v="0"/>
    <x v="7"/>
  </r>
  <r>
    <n v="1098760868"/>
    <x v="54"/>
    <n v="4"/>
    <n v="1"/>
    <n v="1"/>
    <n v="5308000"/>
    <n v="5000000"/>
    <x v="1"/>
    <n v="26298770"/>
    <n v="0"/>
    <n v="2"/>
    <n v="6"/>
    <n v="2"/>
    <x v="1"/>
  </r>
  <r>
    <n v="1022381175"/>
    <x v="33"/>
    <n v="3"/>
    <n v="6"/>
    <n v="3"/>
    <n v="672754"/>
    <n v="0"/>
    <x v="1"/>
    <n v="40221000"/>
    <n v="0"/>
    <n v="0"/>
    <n v="1"/>
    <n v="3"/>
    <x v="5"/>
  </r>
  <r>
    <n v="20932597"/>
    <x v="85"/>
    <n v="3"/>
    <n v="11"/>
    <n v="6"/>
    <n v="2460000"/>
    <n v="50000000"/>
    <x v="1"/>
    <n v="104794715"/>
    <n v="0"/>
    <n v="0"/>
    <n v="3"/>
    <n v="1"/>
    <x v="7"/>
  </r>
  <r>
    <n v="1015415335"/>
    <x v="84"/>
    <n v="4"/>
    <n v="12"/>
    <n v="4"/>
    <n v="7810000"/>
    <n v="19000000"/>
    <x v="1"/>
    <n v="37855918"/>
    <n v="0"/>
    <n v="1"/>
    <n v="4"/>
    <n v="3"/>
    <x v="3"/>
  </r>
  <r>
    <n v="45489129"/>
    <x v="50"/>
    <n v="2"/>
    <n v="6"/>
    <n v="1"/>
    <n v="3423387"/>
    <n v="40000000"/>
    <x v="15"/>
    <n v="34018514"/>
    <n v="0"/>
    <n v="1"/>
    <n v="10"/>
    <n v="2"/>
    <x v="6"/>
  </r>
  <r>
    <n v="1061727834"/>
    <x v="95"/>
    <n v="6"/>
    <n v="5"/>
    <n v="2"/>
    <n v="11093000"/>
    <n v="207403257.42000002"/>
    <x v="92"/>
    <n v="62326262"/>
    <n v="0"/>
    <n v="6"/>
    <n v="12"/>
    <n v="10"/>
    <x v="4"/>
  </r>
  <r>
    <n v="98771814"/>
    <x v="51"/>
    <n v="1"/>
    <n v="4"/>
    <n v="1"/>
    <n v="12022258.333333334"/>
    <n v="51405740"/>
    <x v="1"/>
    <n v="77665000"/>
    <n v="0"/>
    <n v="7"/>
    <n v="7"/>
    <n v="9"/>
    <x v="5"/>
  </r>
  <r>
    <n v="1022350929"/>
    <x v="83"/>
    <n v="5"/>
    <n v="8"/>
    <n v="4"/>
    <n v="5105000"/>
    <n v="92879282.99000001"/>
    <x v="1"/>
    <n v="31781003"/>
    <n v="0"/>
    <n v="4"/>
    <n v="9"/>
    <n v="7"/>
    <x v="4"/>
  </r>
  <r>
    <n v="1024552869"/>
    <x v="17"/>
    <n v="4"/>
    <n v="12"/>
    <n v="2"/>
    <n v="6520000"/>
    <n v="65616843.899999991"/>
    <x v="93"/>
    <n v="117094327"/>
    <n v="0"/>
    <n v="0"/>
    <n v="5"/>
    <n v="2"/>
    <x v="2"/>
  </r>
  <r>
    <n v="1214714414"/>
    <x v="62"/>
    <n v="2"/>
    <n v="20"/>
    <n v="8"/>
    <n v="7189000"/>
    <n v="123809896.90000001"/>
    <x v="21"/>
    <n v="93989000"/>
    <n v="0"/>
    <n v="4"/>
    <n v="4"/>
    <n v="9"/>
    <x v="7"/>
  </r>
  <r>
    <n v="1030565519"/>
    <x v="52"/>
    <n v="8"/>
    <n v="11"/>
    <n v="6"/>
    <n v="2277716.5"/>
    <n v="57600000"/>
    <x v="94"/>
    <n v="139480889"/>
    <n v="0"/>
    <n v="0"/>
    <n v="8"/>
    <n v="4"/>
    <x v="7"/>
  </r>
  <r>
    <n v="29126952"/>
    <x v="65"/>
    <n v="4"/>
    <n v="16"/>
    <n v="7"/>
    <n v="8240000"/>
    <n v="86000000"/>
    <x v="1"/>
    <n v="55735109"/>
    <n v="0"/>
    <n v="5"/>
    <n v="14"/>
    <n v="11"/>
    <x v="2"/>
  </r>
  <r>
    <n v="45766371"/>
    <x v="96"/>
    <n v="1"/>
    <n v="3"/>
    <n v="3"/>
    <n v="3690000"/>
    <n v="11200000"/>
    <x v="1"/>
    <n v="16072000"/>
    <n v="0"/>
    <n v="1"/>
    <n v="4"/>
    <n v="7"/>
    <x v="0"/>
  </r>
  <r>
    <n v="1018468257"/>
    <x v="38"/>
    <n v="3"/>
    <n v="7"/>
    <n v="1"/>
    <n v="1230000"/>
    <n v="65900000.000000007"/>
    <x v="1"/>
    <n v="17607292"/>
    <n v="0"/>
    <n v="0"/>
    <n v="0"/>
    <n v="0"/>
    <x v="7"/>
  </r>
  <r>
    <n v="57464859"/>
    <x v="84"/>
    <n v="5"/>
    <n v="13"/>
    <n v="0"/>
    <n v="7010000"/>
    <n v="78000000"/>
    <x v="1"/>
    <n v="19688051"/>
    <n v="0"/>
    <n v="4"/>
    <n v="6"/>
    <n v="12"/>
    <x v="3"/>
  </r>
  <r>
    <n v="38213008"/>
    <x v="76"/>
    <n v="7"/>
    <n v="9"/>
    <n v="0"/>
    <n v="5965000"/>
    <n v="84250000"/>
    <x v="1"/>
    <n v="33904049"/>
    <n v="0"/>
    <n v="5"/>
    <n v="10"/>
    <n v="11"/>
    <x v="0"/>
  </r>
  <r>
    <n v="32298599"/>
    <x v="13"/>
    <n v="1"/>
    <n v="3"/>
    <n v="2"/>
    <n v="6553411.583333334"/>
    <n v="0"/>
    <x v="1"/>
    <n v="111454600"/>
    <n v="0"/>
    <n v="6"/>
    <n v="9"/>
    <n v="11"/>
    <x v="7"/>
  </r>
  <r>
    <n v="98696279"/>
    <x v="38"/>
    <n v="2"/>
    <n v="12"/>
    <n v="4"/>
    <n v="9034000"/>
    <n v="195760000"/>
    <x v="1"/>
    <n v="99865792"/>
    <n v="0"/>
    <n v="5"/>
    <n v="7"/>
    <n v="9"/>
    <x v="1"/>
  </r>
  <r>
    <n v="14135841"/>
    <x v="23"/>
    <n v="7"/>
    <n v="16"/>
    <n v="3"/>
    <n v="11315000"/>
    <n v="181915144.17000002"/>
    <x v="1"/>
    <n v="71676000"/>
    <n v="0"/>
    <n v="9"/>
    <n v="24"/>
    <n v="11"/>
    <x v="8"/>
  </r>
  <r>
    <n v="1024468109"/>
    <x v="53"/>
    <n v="4"/>
    <n v="6"/>
    <n v="3"/>
    <n v="7886000"/>
    <n v="48500000"/>
    <x v="0"/>
    <n v="66004275"/>
    <n v="0"/>
    <n v="0"/>
    <n v="13"/>
    <n v="8"/>
    <x v="5"/>
  </r>
  <r>
    <n v="10782685"/>
    <x v="59"/>
    <n v="1"/>
    <n v="6"/>
    <n v="3"/>
    <n v="633000"/>
    <n v="6700000"/>
    <x v="95"/>
    <n v="2106027"/>
    <n v="0"/>
    <n v="1"/>
    <n v="1"/>
    <n v="8"/>
    <x v="1"/>
  </r>
  <r>
    <n v="1014265444"/>
    <x v="53"/>
    <n v="5"/>
    <n v="10"/>
    <n v="0"/>
    <n v="185000"/>
    <n v="30500000"/>
    <x v="1"/>
    <n v="44868400"/>
    <n v="0"/>
    <n v="0"/>
    <n v="2"/>
    <n v="1"/>
    <x v="5"/>
  </r>
  <r>
    <n v="1019011320"/>
    <x v="97"/>
    <n v="6"/>
    <n v="12"/>
    <n v="7"/>
    <n v="6150000"/>
    <n v="78500000"/>
    <x v="1"/>
    <n v="69398646"/>
    <n v="0"/>
    <n v="3"/>
    <n v="14"/>
    <n v="5"/>
    <x v="7"/>
  </r>
  <r>
    <n v="45647324"/>
    <x v="10"/>
    <n v="0"/>
    <n v="6"/>
    <n v="4"/>
    <n v="4218205.5"/>
    <n v="55000000"/>
    <x v="1"/>
    <n v="73974000"/>
    <n v="0"/>
    <n v="2"/>
    <n v="9"/>
    <n v="6"/>
    <x v="5"/>
  </r>
  <r>
    <n v="1023950498"/>
    <x v="91"/>
    <n v="4"/>
    <n v="10"/>
    <n v="3"/>
    <n v="3135000"/>
    <n v="70000000"/>
    <x v="96"/>
    <n v="35179000"/>
    <n v="0"/>
    <n v="2"/>
    <n v="11"/>
    <n v="1"/>
    <x v="8"/>
  </r>
  <r>
    <n v="16452335"/>
    <x v="6"/>
    <n v="2"/>
    <n v="13"/>
    <n v="5"/>
    <n v="11184238.25"/>
    <n v="141000000"/>
    <x v="1"/>
    <n v="76895423"/>
    <n v="0"/>
    <n v="12"/>
    <n v="18"/>
    <n v="22"/>
    <x v="4"/>
  </r>
  <r>
    <n v="1070005061"/>
    <x v="81"/>
    <n v="0"/>
    <n v="8"/>
    <n v="2"/>
    <n v="8610000"/>
    <n v="42600000"/>
    <x v="1"/>
    <n v="17842500"/>
    <n v="0"/>
    <n v="5"/>
    <n v="7"/>
    <n v="11"/>
    <x v="5"/>
  </r>
  <r>
    <n v="1024586012"/>
    <x v="49"/>
    <n v="1"/>
    <n v="2"/>
    <n v="1"/>
    <n v="0"/>
    <n v="0"/>
    <x v="1"/>
    <n v="20103477"/>
    <n v="0"/>
    <n v="0"/>
    <n v="8"/>
    <n v="0"/>
    <x v="0"/>
  </r>
  <r>
    <n v="1019079199"/>
    <x v="49"/>
    <n v="1"/>
    <n v="7"/>
    <n v="1"/>
    <n v="4425134.666666666"/>
    <n v="53600000"/>
    <x v="1"/>
    <n v="123674814"/>
    <n v="0"/>
    <n v="2"/>
    <n v="5"/>
    <n v="6"/>
    <x v="3"/>
  </r>
  <r>
    <n v="8356403"/>
    <x v="47"/>
    <n v="1"/>
    <n v="7"/>
    <n v="1"/>
    <n v="9997492.666666666"/>
    <n v="75800000"/>
    <x v="1"/>
    <n v="87831618"/>
    <n v="0"/>
    <n v="5"/>
    <n v="17"/>
    <n v="11"/>
    <x v="0"/>
  </r>
  <r>
    <n v="1013596375"/>
    <x v="73"/>
    <n v="0"/>
    <n v="0"/>
    <n v="1"/>
    <n v="0"/>
    <n v="0"/>
    <x v="1"/>
    <n v="0"/>
    <n v="0"/>
    <n v="0"/>
    <n v="0"/>
    <n v="0"/>
    <x v="0"/>
  </r>
  <r>
    <n v="66776912"/>
    <x v="63"/>
    <n v="11"/>
    <n v="7"/>
    <n v="0"/>
    <n v="2830000"/>
    <n v="93400000"/>
    <x v="81"/>
    <n v="63287345"/>
    <n v="0"/>
    <n v="5"/>
    <n v="9"/>
    <n v="12"/>
    <x v="1"/>
  </r>
  <r>
    <n v="30775465"/>
    <x v="32"/>
    <n v="4"/>
    <n v="12"/>
    <n v="1"/>
    <n v="3750000"/>
    <n v="32500000"/>
    <x v="1"/>
    <n v="7351700"/>
    <n v="0"/>
    <n v="1"/>
    <n v="12"/>
    <n v="18"/>
    <x v="5"/>
  </r>
  <r>
    <n v="1071549297"/>
    <x v="2"/>
    <n v="3"/>
    <n v="10"/>
    <n v="9"/>
    <n v="615000"/>
    <n v="62614999.999999993"/>
    <x v="1"/>
    <n v="103209749"/>
    <n v="0"/>
    <n v="1"/>
    <n v="7"/>
    <n v="4"/>
    <x v="8"/>
  </r>
  <r>
    <n v="1033718896"/>
    <x v="25"/>
    <n v="2"/>
    <n v="8"/>
    <n v="0"/>
    <n v="2663000"/>
    <n v="62300000"/>
    <x v="1"/>
    <n v="41892000"/>
    <n v="0"/>
    <n v="0"/>
    <n v="3"/>
    <n v="0"/>
    <x v="4"/>
  </r>
  <r>
    <n v="35536092"/>
    <x v="43"/>
    <n v="1"/>
    <n v="5"/>
    <n v="2"/>
    <n v="8550000"/>
    <n v="170600000"/>
    <x v="97"/>
    <n v="45805400"/>
    <n v="0"/>
    <n v="3"/>
    <n v="4"/>
    <n v="3"/>
    <x v="1"/>
  </r>
  <r>
    <n v="1110510965"/>
    <x v="30"/>
    <n v="3"/>
    <n v="2"/>
    <n v="3"/>
    <n v="2478000"/>
    <n v="21650000"/>
    <x v="1"/>
    <n v="43234000"/>
    <n v="0"/>
    <n v="1"/>
    <n v="5"/>
    <n v="2"/>
    <x v="4"/>
  </r>
  <r>
    <n v="1117519854"/>
    <x v="31"/>
    <n v="4"/>
    <n v="9"/>
    <n v="1"/>
    <n v="4490000"/>
    <n v="72200000"/>
    <x v="1"/>
    <n v="54390000"/>
    <n v="0"/>
    <n v="0"/>
    <n v="4"/>
    <n v="1"/>
    <x v="6"/>
  </r>
  <r>
    <n v="1031159675"/>
    <x v="2"/>
    <n v="11"/>
    <n v="12"/>
    <n v="8"/>
    <n v="6314220.833333333"/>
    <n v="82402155.180000007"/>
    <x v="98"/>
    <n v="25320000"/>
    <n v="0"/>
    <n v="3"/>
    <n v="10"/>
    <n v="7"/>
    <x v="0"/>
  </r>
  <r>
    <n v="1073512421"/>
    <x v="98"/>
    <n v="0"/>
    <n v="0"/>
    <n v="1"/>
    <n v="0"/>
    <n v="0"/>
    <x v="1"/>
    <n v="0"/>
    <n v="0"/>
    <n v="0"/>
    <n v="0"/>
    <n v="0"/>
    <x v="7"/>
  </r>
  <r>
    <n v="1114819342"/>
    <x v="31"/>
    <n v="11"/>
    <n v="10"/>
    <n v="0"/>
    <n v="4490000"/>
    <n v="90000000"/>
    <x v="99"/>
    <n v="18197004"/>
    <n v="0"/>
    <n v="2"/>
    <n v="3"/>
    <n v="2"/>
    <x v="2"/>
  </r>
  <r>
    <n v="1065613673"/>
    <x v="21"/>
    <n v="2"/>
    <n v="7"/>
    <n v="0"/>
    <n v="2760000"/>
    <n v="70200000"/>
    <x v="1"/>
    <n v="20728714"/>
    <n v="0"/>
    <n v="2"/>
    <n v="6"/>
    <n v="6"/>
    <x v="0"/>
  </r>
  <r>
    <n v="1095823021"/>
    <x v="50"/>
    <n v="8"/>
    <n v="6"/>
    <n v="3"/>
    <n v="6395000"/>
    <n v="43500000"/>
    <x v="100"/>
    <n v="43248934"/>
    <n v="0"/>
    <n v="1"/>
    <n v="2"/>
    <n v="0"/>
    <x v="7"/>
  </r>
  <r>
    <n v="55221108"/>
    <x v="2"/>
    <n v="8"/>
    <n v="13"/>
    <n v="2"/>
    <n v="7246250"/>
    <n v="43696826.129999995"/>
    <x v="1"/>
    <n v="17822774"/>
    <n v="20000000"/>
    <n v="4"/>
    <n v="18"/>
    <n v="14"/>
    <x v="1"/>
  </r>
  <r>
    <n v="86070441"/>
    <x v="99"/>
    <n v="1"/>
    <n v="9"/>
    <n v="1"/>
    <n v="6275000"/>
    <n v="95700000"/>
    <x v="1"/>
    <n v="84039991"/>
    <n v="0"/>
    <n v="3"/>
    <n v="8"/>
    <n v="3"/>
    <x v="6"/>
  </r>
  <r>
    <n v="1020733998"/>
    <x v="10"/>
    <n v="2"/>
    <n v="7"/>
    <n v="2"/>
    <n v="5535000"/>
    <n v="45300000"/>
    <x v="101"/>
    <n v="20635000"/>
    <n v="0"/>
    <n v="0"/>
    <n v="16"/>
    <n v="0"/>
    <x v="0"/>
  </r>
  <r>
    <n v="1102848741"/>
    <x v="24"/>
    <n v="0"/>
    <n v="5"/>
    <n v="3"/>
    <n v="7565000"/>
    <n v="265399999.99999997"/>
    <x v="15"/>
    <n v="4000000"/>
    <n v="0"/>
    <n v="5"/>
    <n v="5"/>
    <n v="6"/>
    <x v="5"/>
  </r>
  <r>
    <n v="1053809183"/>
    <x v="21"/>
    <n v="4"/>
    <n v="12"/>
    <n v="0"/>
    <n v="4960000"/>
    <n v="105110000"/>
    <x v="1"/>
    <n v="56782070"/>
    <n v="0"/>
    <n v="3"/>
    <n v="11"/>
    <n v="4"/>
    <x v="7"/>
  </r>
  <r>
    <n v="1073508522"/>
    <x v="64"/>
    <n v="2"/>
    <n v="7"/>
    <n v="4"/>
    <n v="2250833.3333333335"/>
    <n v="65569999.999999993"/>
    <x v="1"/>
    <n v="43521000"/>
    <n v="0"/>
    <n v="0"/>
    <n v="5"/>
    <n v="3"/>
    <x v="2"/>
  </r>
  <r>
    <n v="1037586659"/>
    <x v="19"/>
    <n v="5"/>
    <n v="3"/>
    <n v="0"/>
    <n v="6765000"/>
    <n v="145000000"/>
    <x v="1"/>
    <n v="47290595"/>
    <n v="0"/>
    <n v="8"/>
    <n v="10"/>
    <n v="11"/>
    <x v="7"/>
  </r>
  <r>
    <n v="52878312"/>
    <x v="23"/>
    <n v="1"/>
    <n v="7"/>
    <n v="1"/>
    <n v="10640000"/>
    <n v="208644020.78"/>
    <x v="1"/>
    <n v="6842000"/>
    <n v="0"/>
    <n v="10"/>
    <n v="9"/>
    <n v="10"/>
    <x v="2"/>
  </r>
  <r>
    <n v="1116040428"/>
    <x v="83"/>
    <n v="2"/>
    <n v="13"/>
    <n v="2"/>
    <n v="3260000"/>
    <n v="11200000"/>
    <x v="1"/>
    <n v="0"/>
    <n v="0"/>
    <n v="2"/>
    <n v="2"/>
    <n v="2"/>
    <x v="4"/>
  </r>
  <r>
    <n v="52431613"/>
    <x v="58"/>
    <n v="3"/>
    <n v="5"/>
    <n v="6"/>
    <n v="7585000"/>
    <n v="161300000"/>
    <x v="74"/>
    <n v="101435918"/>
    <n v="0"/>
    <n v="2"/>
    <n v="7"/>
    <n v="8"/>
    <x v="1"/>
  </r>
  <r>
    <n v="1013625226"/>
    <x v="84"/>
    <n v="8"/>
    <n v="12"/>
    <n v="4"/>
    <n v="9840000"/>
    <n v="90000000"/>
    <x v="1"/>
    <n v="130957000"/>
    <n v="0"/>
    <n v="0"/>
    <n v="2"/>
    <n v="4"/>
    <x v="1"/>
  </r>
  <r>
    <n v="1121830801"/>
    <x v="66"/>
    <n v="1"/>
    <n v="6"/>
    <n v="0"/>
    <n v="9162412.5"/>
    <n v="100200000"/>
    <x v="1"/>
    <n v="17804086"/>
    <n v="0"/>
    <n v="9"/>
    <n v="14"/>
    <n v="9"/>
    <x v="2"/>
  </r>
  <r>
    <n v="1069474417"/>
    <x v="4"/>
    <n v="1"/>
    <n v="12"/>
    <n v="1"/>
    <n v="2460000"/>
    <n v="11200000"/>
    <x v="1"/>
    <n v="14324700"/>
    <n v="0"/>
    <n v="3"/>
    <n v="8"/>
    <n v="9"/>
    <x v="1"/>
  </r>
  <r>
    <n v="1075212214"/>
    <x v="83"/>
    <n v="5"/>
    <n v="13"/>
    <n v="8"/>
    <n v="11070000"/>
    <n v="156300000"/>
    <x v="102"/>
    <n v="65772000"/>
    <n v="0"/>
    <n v="9"/>
    <n v="9"/>
    <n v="9"/>
    <x v="5"/>
  </r>
  <r>
    <n v="1017190332"/>
    <x v="14"/>
    <n v="0"/>
    <n v="8"/>
    <n v="1"/>
    <n v="10127500"/>
    <n v="166500000"/>
    <x v="1"/>
    <n v="65686484"/>
    <n v="32616000"/>
    <n v="7"/>
    <n v="6"/>
    <n v="7"/>
    <x v="5"/>
  </r>
  <r>
    <n v="1003994517"/>
    <x v="40"/>
    <n v="4"/>
    <n v="13"/>
    <n v="0"/>
    <n v="11685000"/>
    <n v="172692349.99000001"/>
    <x v="1"/>
    <n v="52600000"/>
    <n v="0"/>
    <n v="8"/>
    <n v="8"/>
    <n v="8"/>
    <x v="4"/>
  </r>
  <r>
    <n v="67039877"/>
    <x v="80"/>
    <n v="10"/>
    <n v="6"/>
    <n v="2"/>
    <n v="8065000"/>
    <n v="97000000"/>
    <x v="1"/>
    <n v="55426636"/>
    <n v="0"/>
    <n v="1"/>
    <n v="10"/>
    <n v="9"/>
    <x v="5"/>
  </r>
  <r>
    <n v="1032397127"/>
    <x v="9"/>
    <n v="2"/>
    <n v="16"/>
    <n v="1"/>
    <n v="9225000"/>
    <n v="78200000"/>
    <x v="103"/>
    <n v="28941000"/>
    <n v="0"/>
    <n v="6"/>
    <n v="14"/>
    <n v="7"/>
    <x v="5"/>
  </r>
  <r>
    <n v="1031158854"/>
    <x v="23"/>
    <n v="4"/>
    <n v="4"/>
    <n v="2"/>
    <n v="3690000"/>
    <n v="0"/>
    <x v="1"/>
    <n v="23294000"/>
    <n v="0"/>
    <n v="1"/>
    <n v="7"/>
    <n v="6"/>
    <x v="5"/>
  </r>
  <r>
    <n v="30333496"/>
    <x v="9"/>
    <n v="4"/>
    <n v="6"/>
    <n v="9"/>
    <n v="1845000"/>
    <n v="42000000"/>
    <x v="1"/>
    <n v="18673000"/>
    <n v="0"/>
    <n v="0"/>
    <n v="0"/>
    <n v="1"/>
    <x v="7"/>
  </r>
  <r>
    <n v="1032459798"/>
    <x v="3"/>
    <n v="2"/>
    <n v="6"/>
    <n v="9"/>
    <n v="5535000"/>
    <n v="81500000"/>
    <x v="1"/>
    <n v="49389687"/>
    <n v="0"/>
    <n v="5"/>
    <n v="8"/>
    <n v="12"/>
    <x v="7"/>
  </r>
  <r>
    <n v="1014210774"/>
    <x v="45"/>
    <n v="1"/>
    <n v="5"/>
    <n v="5"/>
    <n v="457083.33333333302"/>
    <n v="54600000"/>
    <x v="104"/>
    <n v="76151279"/>
    <n v="0"/>
    <n v="4"/>
    <n v="3"/>
    <n v="1"/>
    <x v="3"/>
  </r>
  <r>
    <n v="1016035566"/>
    <x v="53"/>
    <n v="3"/>
    <n v="2"/>
    <n v="8"/>
    <n v="198386.83333333337"/>
    <n v="22200000"/>
    <x v="74"/>
    <n v="46446731"/>
    <n v="0"/>
    <n v="0"/>
    <n v="0"/>
    <n v="0"/>
    <x v="7"/>
  </r>
  <r>
    <n v="44156232"/>
    <x v="32"/>
    <n v="5"/>
    <n v="8"/>
    <n v="2"/>
    <n v="3741250"/>
    <n v="55000000"/>
    <x v="1"/>
    <n v="38630000"/>
    <n v="0"/>
    <n v="3"/>
    <n v="13"/>
    <n v="12"/>
    <x v="5"/>
  </r>
  <r>
    <n v="1024516153"/>
    <x v="100"/>
    <n v="4"/>
    <n v="5"/>
    <n v="0"/>
    <n v="818000"/>
    <n v="30400000"/>
    <x v="1"/>
    <n v="29734000"/>
    <n v="0"/>
    <n v="1"/>
    <n v="3"/>
    <n v="0"/>
    <x v="7"/>
  </r>
  <r>
    <n v="1022346094"/>
    <x v="101"/>
    <n v="8"/>
    <n v="5"/>
    <n v="1"/>
    <n v="2307284.25"/>
    <n v="-1000000"/>
    <x v="1"/>
    <n v="20684793"/>
    <n v="0"/>
    <n v="2"/>
    <n v="14"/>
    <n v="4"/>
    <x v="3"/>
  </r>
  <r>
    <n v="1015448134"/>
    <x v="85"/>
    <n v="2"/>
    <n v="10"/>
    <n v="2"/>
    <n v="3505000"/>
    <n v="88600000"/>
    <x v="1"/>
    <n v="38329676"/>
    <n v="0"/>
    <n v="0"/>
    <n v="1"/>
    <n v="0"/>
    <x v="4"/>
  </r>
  <r>
    <n v="1014273167"/>
    <x v="5"/>
    <n v="5"/>
    <n v="18"/>
    <n v="5"/>
    <n v="5586250"/>
    <n v="165000000"/>
    <x v="1"/>
    <n v="134632000"/>
    <n v="0"/>
    <n v="3"/>
    <n v="10"/>
    <n v="1"/>
    <x v="2"/>
  </r>
  <r>
    <n v="1152688576"/>
    <x v="28"/>
    <n v="2"/>
    <n v="16"/>
    <n v="1"/>
    <n v="12150833.333333334"/>
    <n v="126200000"/>
    <x v="1"/>
    <n v="135185095"/>
    <n v="0"/>
    <n v="9"/>
    <n v="13"/>
    <n v="10"/>
    <x v="7"/>
  </r>
  <r>
    <n v="1037621761"/>
    <x v="62"/>
    <n v="2"/>
    <n v="9"/>
    <n v="2"/>
    <n v="6150000"/>
    <n v="82130000"/>
    <x v="1"/>
    <n v="143904409"/>
    <n v="0"/>
    <n v="1"/>
    <n v="7"/>
    <n v="2"/>
    <x v="0"/>
  </r>
  <r>
    <n v="1024590952"/>
    <x v="3"/>
    <n v="5"/>
    <n v="7"/>
    <n v="0"/>
    <n v="0"/>
    <n v="0"/>
    <x v="12"/>
    <n v="15539134"/>
    <n v="0"/>
    <n v="1"/>
    <n v="8"/>
    <n v="0"/>
    <x v="7"/>
  </r>
  <r>
    <n v="1017169122"/>
    <x v="31"/>
    <n v="1"/>
    <n v="5"/>
    <n v="2"/>
    <n v="9243000"/>
    <n v="142390000"/>
    <x v="1"/>
    <n v="73022677"/>
    <n v="0"/>
    <n v="8"/>
    <n v="14"/>
    <n v="10"/>
    <x v="2"/>
  </r>
  <r>
    <n v="1019019613"/>
    <x v="71"/>
    <n v="11"/>
    <n v="9"/>
    <n v="1"/>
    <n v="7045833.333333333"/>
    <n v="16200000"/>
    <x v="49"/>
    <n v="59242003"/>
    <n v="0"/>
    <n v="0"/>
    <n v="5"/>
    <n v="5"/>
    <x v="2"/>
  </r>
  <r>
    <n v="1020427303"/>
    <x v="11"/>
    <n v="3"/>
    <n v="12"/>
    <n v="0"/>
    <n v="10894265.333333334"/>
    <n v="104815603.86"/>
    <x v="32"/>
    <n v="90500800"/>
    <n v="0"/>
    <n v="4"/>
    <n v="5"/>
    <n v="5"/>
    <x v="1"/>
  </r>
  <r>
    <n v="1018475713"/>
    <x v="45"/>
    <n v="1"/>
    <n v="12"/>
    <n v="7"/>
    <n v="1230000"/>
    <n v="0"/>
    <x v="105"/>
    <n v="28192000"/>
    <n v="0"/>
    <n v="0"/>
    <n v="6"/>
    <n v="4"/>
    <x v="5"/>
  </r>
  <r>
    <n v="57466761"/>
    <x v="19"/>
    <n v="3"/>
    <n v="6"/>
    <n v="0"/>
    <n v="9532500"/>
    <n v="126900000"/>
    <x v="1"/>
    <n v="15850000"/>
    <n v="0"/>
    <n v="1"/>
    <n v="9"/>
    <n v="1"/>
    <x v="0"/>
  </r>
  <r>
    <n v="1075227846"/>
    <x v="66"/>
    <n v="0"/>
    <n v="11"/>
    <n v="0"/>
    <n v="7565000"/>
    <n v="273600000"/>
    <x v="106"/>
    <n v="101958000"/>
    <n v="0"/>
    <n v="7"/>
    <n v="7"/>
    <n v="8"/>
    <x v="3"/>
  </r>
  <r>
    <n v="64572729"/>
    <x v="38"/>
    <n v="1"/>
    <n v="2"/>
    <n v="0"/>
    <n v="2538955.666666667"/>
    <n v="73000000"/>
    <x v="1"/>
    <n v="57714896"/>
    <n v="0"/>
    <n v="1"/>
    <n v="5"/>
    <n v="4"/>
    <x v="0"/>
  </r>
  <r>
    <n v="1022387032"/>
    <x v="14"/>
    <n v="2"/>
    <n v="2"/>
    <n v="0"/>
    <n v="1230000"/>
    <n v="11800000"/>
    <x v="1"/>
    <n v="49688447"/>
    <n v="0"/>
    <n v="1"/>
    <n v="2"/>
    <n v="0"/>
    <x v="3"/>
  </r>
  <r>
    <n v="1017150670"/>
    <x v="5"/>
    <n v="1"/>
    <n v="5"/>
    <n v="9"/>
    <n v="3520725.833333333"/>
    <n v="84500000"/>
    <x v="1"/>
    <n v="132425775"/>
    <n v="0"/>
    <n v="6"/>
    <n v="7"/>
    <n v="7"/>
    <x v="1"/>
  </r>
  <r>
    <n v="1088264450"/>
    <x v="93"/>
    <n v="2"/>
    <n v="14"/>
    <n v="0"/>
    <n v="7565000"/>
    <n v="103300000"/>
    <x v="1"/>
    <n v="39021773"/>
    <n v="0"/>
    <n v="8"/>
    <n v="13"/>
    <n v="9"/>
    <x v="2"/>
  </r>
  <r>
    <n v="1075265993"/>
    <x v="51"/>
    <n v="0"/>
    <n v="13"/>
    <n v="0"/>
    <n v="7380000"/>
    <n v="456980000"/>
    <x v="107"/>
    <n v="143106154"/>
    <n v="0"/>
    <n v="7"/>
    <n v="8"/>
    <n v="12"/>
    <x v="2"/>
  </r>
  <r>
    <n v="1073700380"/>
    <x v="56"/>
    <n v="1"/>
    <n v="8"/>
    <n v="2"/>
    <n v="6540322.75"/>
    <n v="15000000"/>
    <x v="1"/>
    <n v="73889400"/>
    <n v="0"/>
    <n v="3"/>
    <n v="16"/>
    <n v="10"/>
    <x v="0"/>
  </r>
  <r>
    <n v="1072709481"/>
    <x v="31"/>
    <n v="4"/>
    <n v="5"/>
    <n v="2"/>
    <n v="2890940.833333333"/>
    <n v="34355783.710000001"/>
    <x v="1"/>
    <n v="57185042"/>
    <n v="0"/>
    <n v="1"/>
    <n v="3"/>
    <n v="2"/>
    <x v="8"/>
  </r>
  <r>
    <n v="1023904082"/>
    <x v="20"/>
    <n v="3"/>
    <n v="7"/>
    <n v="4"/>
    <n v="5475000"/>
    <n v="86000000"/>
    <x v="108"/>
    <n v="90864424"/>
    <n v="0"/>
    <n v="2"/>
    <n v="9"/>
    <n v="7"/>
    <x v="3"/>
  </r>
  <r>
    <n v="55058995"/>
    <x v="30"/>
    <n v="5"/>
    <n v="9"/>
    <n v="2"/>
    <n v="4933502.083333333"/>
    <n v="13000000"/>
    <x v="1"/>
    <n v="56270914"/>
    <n v="0"/>
    <n v="0"/>
    <n v="1"/>
    <n v="0"/>
    <x v="8"/>
  </r>
  <r>
    <n v="1023940901"/>
    <x v="40"/>
    <n v="1"/>
    <n v="11"/>
    <n v="4"/>
    <n v="9840000"/>
    <n v="41200000"/>
    <x v="1"/>
    <n v="36333000"/>
    <n v="0"/>
    <n v="4"/>
    <n v="4"/>
    <n v="3"/>
    <x v="3"/>
  </r>
  <r>
    <n v="98715801"/>
    <x v="102"/>
    <n v="0"/>
    <n v="6"/>
    <n v="0"/>
    <n v="902500"/>
    <n v="66206695.870000005"/>
    <x v="1"/>
    <n v="51486000"/>
    <n v="0"/>
    <n v="2"/>
    <n v="4"/>
    <n v="8"/>
    <x v="5"/>
  </r>
  <r>
    <n v="1000468159"/>
    <x v="103"/>
    <n v="3"/>
    <n v="11"/>
    <n v="4"/>
    <n v="2475416.6666666665"/>
    <n v="5300000"/>
    <x v="109"/>
    <n v="69780340"/>
    <n v="0"/>
    <n v="1"/>
    <n v="2"/>
    <n v="1"/>
    <x v="3"/>
  </r>
  <r>
    <n v="1024540551"/>
    <x v="54"/>
    <n v="3"/>
    <n v="12"/>
    <n v="6"/>
    <n v="7475726"/>
    <n v="94700000"/>
    <x v="110"/>
    <n v="111952257"/>
    <n v="0"/>
    <n v="5"/>
    <n v="6"/>
    <n v="5"/>
    <x v="8"/>
  </r>
  <r>
    <n v="1088256620"/>
    <x v="35"/>
    <n v="6"/>
    <n v="9"/>
    <n v="10"/>
    <n v="10560000"/>
    <n v="50000000"/>
    <x v="111"/>
    <n v="105079714"/>
    <n v="0"/>
    <n v="2"/>
    <n v="1"/>
    <n v="2"/>
    <x v="3"/>
  </r>
  <r>
    <n v="1088015479"/>
    <x v="104"/>
    <n v="0"/>
    <n v="5"/>
    <n v="3"/>
    <n v="3565000"/>
    <n v="73500000"/>
    <x v="112"/>
    <n v="29526430"/>
    <n v="111591000"/>
    <n v="2"/>
    <n v="3"/>
    <n v="2"/>
    <x v="7"/>
  </r>
  <r>
    <n v="75106516"/>
    <x v="68"/>
    <n v="0"/>
    <n v="4"/>
    <n v="2"/>
    <n v="789166.66666666651"/>
    <n v="15000000"/>
    <x v="1"/>
    <n v="87039712"/>
    <n v="0"/>
    <n v="2"/>
    <n v="4"/>
    <n v="2"/>
    <x v="7"/>
  </r>
  <r>
    <n v="1019018671"/>
    <x v="33"/>
    <n v="0"/>
    <n v="7"/>
    <n v="3"/>
    <n v="2645000"/>
    <n v="57500000"/>
    <x v="1"/>
    <n v="100109494"/>
    <n v="0"/>
    <n v="2"/>
    <n v="2"/>
    <n v="2"/>
    <x v="4"/>
  </r>
  <r>
    <n v="1144130200"/>
    <x v="40"/>
    <n v="2"/>
    <n v="6"/>
    <n v="0"/>
    <n v="1415000"/>
    <n v="20885000"/>
    <x v="1"/>
    <n v="75000947"/>
    <n v="0"/>
    <n v="5"/>
    <n v="6"/>
    <n v="6"/>
    <x v="2"/>
  </r>
  <r>
    <n v="1023004085"/>
    <x v="80"/>
    <n v="3"/>
    <n v="5"/>
    <n v="3"/>
    <n v="0"/>
    <n v="0"/>
    <x v="1"/>
    <n v="83580501"/>
    <n v="0"/>
    <n v="0"/>
    <n v="1"/>
    <n v="2"/>
    <x v="3"/>
  </r>
  <r>
    <n v="16788624"/>
    <x v="105"/>
    <n v="2"/>
    <n v="12"/>
    <n v="4"/>
    <n v="5535000"/>
    <n v="47500000"/>
    <x v="1"/>
    <n v="76554000"/>
    <n v="0"/>
    <n v="3"/>
    <n v="9"/>
    <n v="2"/>
    <x v="4"/>
  </r>
  <r>
    <n v="1070948005"/>
    <x v="66"/>
    <n v="1"/>
    <n v="1"/>
    <n v="0"/>
    <n v="1415000"/>
    <n v="0"/>
    <x v="1"/>
    <n v="720000"/>
    <n v="0"/>
    <n v="0"/>
    <n v="0"/>
    <n v="0"/>
    <x v="1"/>
  </r>
  <r>
    <n v="1090465063"/>
    <x v="73"/>
    <n v="0"/>
    <n v="0"/>
    <n v="0"/>
    <n v="0"/>
    <n v="0"/>
    <x v="1"/>
    <n v="0"/>
    <n v="0"/>
    <n v="0"/>
    <n v="0"/>
    <n v="0"/>
    <x v="3"/>
  </r>
  <r>
    <n v="35536840"/>
    <x v="106"/>
    <n v="7"/>
    <n v="5"/>
    <n v="3"/>
    <n v="3204548.3333333335"/>
    <n v="116880000"/>
    <x v="1"/>
    <n v="65028000"/>
    <n v="40000000"/>
    <n v="0"/>
    <n v="1"/>
    <n v="1"/>
    <x v="7"/>
  </r>
  <r>
    <n v="16934969"/>
    <x v="43"/>
    <n v="4"/>
    <n v="14"/>
    <n v="3"/>
    <n v="3895000"/>
    <n v="140200000"/>
    <x v="89"/>
    <n v="68942711"/>
    <n v="0"/>
    <n v="3"/>
    <n v="7"/>
    <n v="3"/>
    <x v="4"/>
  </r>
  <r>
    <n v="1014224368"/>
    <x v="85"/>
    <n v="2"/>
    <n v="6"/>
    <n v="0"/>
    <n v="-55141"/>
    <n v="16200000"/>
    <x v="1"/>
    <n v="29410000"/>
    <n v="0"/>
    <n v="0"/>
    <n v="0"/>
    <n v="0"/>
    <x v="6"/>
  </r>
  <r>
    <n v="8104319"/>
    <x v="107"/>
    <n v="1"/>
    <n v="18"/>
    <n v="2"/>
    <n v="3690000"/>
    <n v="50000000"/>
    <x v="1"/>
    <n v="132669800"/>
    <n v="0"/>
    <n v="2"/>
    <n v="4"/>
    <n v="4"/>
    <x v="2"/>
  </r>
  <r>
    <n v="43702565"/>
    <x v="25"/>
    <n v="4"/>
    <n v="7"/>
    <n v="2"/>
    <n v="2460000"/>
    <n v="94900000"/>
    <x v="10"/>
    <n v="10345000"/>
    <n v="0"/>
    <n v="6"/>
    <n v="5"/>
    <n v="7"/>
    <x v="3"/>
  </r>
  <r>
    <n v="1118806722"/>
    <x v="84"/>
    <n v="4"/>
    <n v="8"/>
    <n v="0"/>
    <n v="2030000"/>
    <n v="6200000"/>
    <x v="1"/>
    <n v="41800000"/>
    <n v="0"/>
    <n v="0"/>
    <n v="6"/>
    <n v="13"/>
    <x v="4"/>
  </r>
  <r>
    <n v="1088034671"/>
    <x v="21"/>
    <n v="1"/>
    <n v="9"/>
    <n v="0"/>
    <n v="3750000"/>
    <n v="35000000"/>
    <x v="1"/>
    <n v="70252948"/>
    <n v="0"/>
    <n v="2"/>
    <n v="1"/>
    <n v="2"/>
    <x v="6"/>
  </r>
  <r>
    <n v="35353550"/>
    <x v="7"/>
    <n v="2"/>
    <n v="2"/>
    <n v="1"/>
    <n v="3341559.1666666665"/>
    <n v="802814.90000000037"/>
    <x v="1"/>
    <n v="4010900"/>
    <n v="0"/>
    <n v="0"/>
    <n v="5"/>
    <n v="2"/>
    <x v="6"/>
  </r>
  <r>
    <n v="1140842460"/>
    <x v="35"/>
    <n v="4"/>
    <n v="11"/>
    <n v="0"/>
    <n v="6150000"/>
    <n v="21200000"/>
    <x v="1"/>
    <n v="20844000"/>
    <n v="0"/>
    <n v="4"/>
    <n v="10"/>
    <n v="11"/>
    <x v="1"/>
  </r>
  <r>
    <n v="1030623687"/>
    <x v="6"/>
    <n v="2"/>
    <n v="6"/>
    <n v="2"/>
    <n v="1640000"/>
    <n v="36000000"/>
    <x v="113"/>
    <n v="28038600"/>
    <n v="0"/>
    <n v="1"/>
    <n v="3"/>
    <n v="3"/>
    <x v="2"/>
  </r>
  <r>
    <n v="1018489502"/>
    <x v="73"/>
    <n v="0"/>
    <n v="0"/>
    <n v="3"/>
    <n v="0"/>
    <n v="0"/>
    <x v="1"/>
    <n v="0"/>
    <n v="0"/>
    <n v="0"/>
    <n v="1"/>
    <n v="3"/>
    <x v="3"/>
  </r>
  <r>
    <n v="1128281637"/>
    <x v="88"/>
    <n v="1"/>
    <n v="5"/>
    <n v="1"/>
    <n v="1451000"/>
    <n v="87112406"/>
    <x v="1"/>
    <n v="41479000"/>
    <n v="0"/>
    <n v="3"/>
    <n v="5"/>
    <n v="4"/>
    <x v="7"/>
  </r>
  <r>
    <n v="1140831173"/>
    <x v="54"/>
    <n v="0"/>
    <n v="7"/>
    <n v="1"/>
    <n v="4750416.666666667"/>
    <n v="31800000"/>
    <x v="1"/>
    <n v="49202334"/>
    <n v="0"/>
    <n v="2"/>
    <n v="7"/>
    <n v="13"/>
    <x v="3"/>
  </r>
  <r>
    <n v="33366411"/>
    <x v="30"/>
    <n v="7"/>
    <n v="12"/>
    <n v="3"/>
    <n v="6150000"/>
    <n v="147600000"/>
    <x v="1"/>
    <n v="107905800"/>
    <n v="0"/>
    <n v="2"/>
    <n v="2"/>
    <n v="2"/>
    <x v="8"/>
  </r>
  <r>
    <n v="36307362"/>
    <x v="59"/>
    <n v="3"/>
    <n v="12"/>
    <n v="0"/>
    <n v="6765000"/>
    <n v="157900000"/>
    <x v="1"/>
    <n v="98486895"/>
    <n v="0"/>
    <n v="5"/>
    <n v="5"/>
    <n v="4"/>
    <x v="3"/>
  </r>
  <r>
    <n v="1024535146"/>
    <x v="15"/>
    <n v="1"/>
    <n v="8"/>
    <n v="0"/>
    <n v="0"/>
    <n v="109794868.97"/>
    <x v="1"/>
    <n v="4886150"/>
    <n v="0"/>
    <n v="1"/>
    <n v="4"/>
    <n v="2"/>
    <x v="8"/>
  </r>
  <r>
    <n v="32781444"/>
    <x v="62"/>
    <n v="2"/>
    <n v="9"/>
    <n v="1"/>
    <n v="4305000"/>
    <n v="73000000"/>
    <x v="1"/>
    <n v="64839852"/>
    <n v="0"/>
    <n v="1"/>
    <n v="8"/>
    <n v="5"/>
    <x v="5"/>
  </r>
  <r>
    <n v="23756021"/>
    <x v="40"/>
    <n v="0"/>
    <n v="9"/>
    <n v="0"/>
    <n v="5165000"/>
    <n v="28700000"/>
    <x v="114"/>
    <n v="118246438"/>
    <n v="0"/>
    <n v="5"/>
    <n v="5"/>
    <n v="6"/>
    <x v="5"/>
  </r>
  <r>
    <n v="37616090"/>
    <x v="72"/>
    <n v="1"/>
    <n v="8"/>
    <n v="3"/>
    <n v="3075000"/>
    <n v="26900000"/>
    <x v="1"/>
    <n v="28087572"/>
    <n v="0"/>
    <n v="1"/>
    <n v="9"/>
    <n v="1"/>
    <x v="1"/>
  </r>
  <r>
    <n v="74374120"/>
    <x v="73"/>
    <n v="0"/>
    <n v="0"/>
    <n v="0"/>
    <n v="0"/>
    <n v="0"/>
    <x v="1"/>
    <n v="0"/>
    <n v="0"/>
    <n v="0"/>
    <n v="0"/>
    <n v="0"/>
    <x v="6"/>
  </r>
  <r>
    <n v="1094879531"/>
    <x v="35"/>
    <n v="3"/>
    <n v="20"/>
    <n v="3"/>
    <n v="9470000"/>
    <n v="107400000"/>
    <x v="89"/>
    <n v="80495748"/>
    <n v="0"/>
    <n v="4"/>
    <n v="11"/>
    <n v="11"/>
    <x v="5"/>
  </r>
  <r>
    <n v="1010207855"/>
    <x v="49"/>
    <n v="1"/>
    <n v="12"/>
    <n v="3"/>
    <n v="5903400.666666667"/>
    <n v="89589819.370000005"/>
    <x v="115"/>
    <n v="41939376"/>
    <n v="0"/>
    <n v="0"/>
    <n v="13"/>
    <n v="28"/>
    <x v="4"/>
  </r>
  <r>
    <n v="1040732617"/>
    <x v="52"/>
    <n v="0"/>
    <n v="5"/>
    <n v="2"/>
    <n v="6652000"/>
    <n v="6000000"/>
    <x v="1"/>
    <n v="58255283"/>
    <n v="0"/>
    <n v="4"/>
    <n v="4"/>
    <n v="4"/>
    <x v="1"/>
  </r>
  <r>
    <n v="1020754373"/>
    <x v="58"/>
    <n v="3"/>
    <n v="10"/>
    <n v="2"/>
    <n v="4305000"/>
    <n v="30000000"/>
    <x v="1"/>
    <n v="30590000"/>
    <n v="0"/>
    <n v="2"/>
    <n v="7"/>
    <n v="1"/>
    <x v="8"/>
  </r>
  <r>
    <n v="1143839146"/>
    <x v="15"/>
    <n v="6"/>
    <n v="13"/>
    <n v="5"/>
    <n v="12912850.916666666"/>
    <n v="244800000"/>
    <x v="1"/>
    <n v="97403400"/>
    <n v="0"/>
    <n v="6"/>
    <n v="14"/>
    <n v="13"/>
    <x v="1"/>
  </r>
  <r>
    <n v="1023925105"/>
    <x v="14"/>
    <n v="5"/>
    <n v="12"/>
    <n v="12"/>
    <n v="615000"/>
    <n v="108700000"/>
    <x v="1"/>
    <n v="93017458"/>
    <n v="0"/>
    <n v="0"/>
    <n v="10"/>
    <n v="0"/>
    <x v="6"/>
  </r>
  <r>
    <n v="94501508"/>
    <x v="43"/>
    <n v="6"/>
    <n v="13"/>
    <n v="2"/>
    <n v="7010000"/>
    <n v="179574507.84999999"/>
    <x v="116"/>
    <n v="46035219"/>
    <n v="0"/>
    <n v="5"/>
    <n v="9"/>
    <n v="5"/>
    <x v="8"/>
  </r>
  <r>
    <n v="27604620"/>
    <x v="108"/>
    <n v="3"/>
    <n v="16"/>
    <n v="4"/>
    <n v="7607500"/>
    <n v="84320000"/>
    <x v="76"/>
    <n v="41356845"/>
    <n v="0"/>
    <n v="6"/>
    <n v="17"/>
    <n v="19"/>
    <x v="8"/>
  </r>
  <r>
    <n v="1010228073"/>
    <x v="2"/>
    <n v="6"/>
    <n v="3"/>
    <n v="1"/>
    <n v="2252657.6666666665"/>
    <n v="11200000"/>
    <x v="1"/>
    <n v="19990000"/>
    <n v="0"/>
    <n v="0"/>
    <n v="9"/>
    <n v="2"/>
    <x v="8"/>
  </r>
  <r>
    <n v="1020775280"/>
    <x v="48"/>
    <n v="2"/>
    <n v="5"/>
    <n v="0"/>
    <n v="2645000"/>
    <n v="50000000"/>
    <x v="1"/>
    <n v="9142400"/>
    <n v="0"/>
    <n v="3"/>
    <n v="0"/>
    <n v="0"/>
    <x v="5"/>
  </r>
  <r>
    <n v="1030526284"/>
    <x v="83"/>
    <n v="1"/>
    <n v="12"/>
    <n v="6"/>
    <n v="4675000"/>
    <n v="92200000"/>
    <x v="1"/>
    <n v="59772206"/>
    <n v="0"/>
    <n v="0"/>
    <n v="10"/>
    <n v="3"/>
    <x v="2"/>
  </r>
  <r>
    <n v="1057590731"/>
    <x v="10"/>
    <n v="1"/>
    <n v="7"/>
    <n v="11"/>
    <n v="7995000"/>
    <n v="144200000"/>
    <x v="117"/>
    <n v="110224323"/>
    <n v="9590000"/>
    <n v="5"/>
    <n v="6"/>
    <n v="6"/>
    <x v="8"/>
  </r>
  <r>
    <n v="1030541637"/>
    <x v="71"/>
    <n v="5"/>
    <n v="9"/>
    <n v="8"/>
    <n v="11070000"/>
    <n v="109900000"/>
    <x v="1"/>
    <n v="146098000"/>
    <n v="0"/>
    <n v="2"/>
    <n v="1"/>
    <n v="2"/>
    <x v="8"/>
  </r>
  <r>
    <n v="55304355"/>
    <x v="20"/>
    <n v="1"/>
    <n v="5"/>
    <n v="2"/>
    <n v="1845000"/>
    <n v="17000000"/>
    <x v="118"/>
    <n v="38807087"/>
    <n v="0"/>
    <n v="2"/>
    <n v="12"/>
    <n v="2"/>
    <x v="7"/>
  </r>
  <r>
    <n v="52282393"/>
    <x v="50"/>
    <n v="13"/>
    <n v="11"/>
    <n v="5"/>
    <n v="4138000"/>
    <n v="35000000"/>
    <x v="119"/>
    <n v="89216623"/>
    <n v="0"/>
    <n v="7"/>
    <n v="5"/>
    <n v="14"/>
    <x v="4"/>
  </r>
  <r>
    <n v="1130681417"/>
    <x v="109"/>
    <n v="8"/>
    <n v="21"/>
    <n v="4"/>
    <n v="1660000"/>
    <n v="36000000"/>
    <x v="1"/>
    <n v="161799883"/>
    <n v="0"/>
    <n v="3"/>
    <n v="6"/>
    <n v="4"/>
    <x v="2"/>
  </r>
  <r>
    <n v="1072426927"/>
    <x v="84"/>
    <n v="1"/>
    <n v="9"/>
    <n v="1"/>
    <n v="5720000"/>
    <n v="76000000"/>
    <x v="0"/>
    <n v="42464000"/>
    <n v="0"/>
    <n v="3"/>
    <n v="18"/>
    <n v="10"/>
    <x v="8"/>
  </r>
  <r>
    <n v="1005148916"/>
    <x v="59"/>
    <n v="5"/>
    <n v="12"/>
    <n v="4"/>
    <n v="4245000"/>
    <n v="29700000"/>
    <x v="120"/>
    <n v="17039000"/>
    <n v="0"/>
    <n v="2"/>
    <n v="11"/>
    <n v="5"/>
    <x v="4"/>
  </r>
  <r>
    <n v="1130617338"/>
    <x v="104"/>
    <n v="1"/>
    <n v="4"/>
    <n v="3"/>
    <n v="3075000"/>
    <n v="103000000"/>
    <x v="41"/>
    <n v="23122670"/>
    <n v="0"/>
    <n v="4"/>
    <n v="4"/>
    <n v="4"/>
    <x v="5"/>
  </r>
  <r>
    <n v="1144052933"/>
    <x v="43"/>
    <n v="0"/>
    <n v="12"/>
    <n v="0"/>
    <n v="6335000"/>
    <n v="61000000"/>
    <x v="121"/>
    <n v="173654703"/>
    <n v="0"/>
    <n v="4"/>
    <n v="8"/>
    <n v="5"/>
    <x v="0"/>
  </r>
  <r>
    <n v="1151948923"/>
    <x v="100"/>
    <n v="0"/>
    <n v="5"/>
    <n v="3"/>
    <n v="2460000"/>
    <n v="30000000"/>
    <x v="1"/>
    <n v="116783698"/>
    <n v="0"/>
    <n v="1"/>
    <n v="1"/>
    <n v="1"/>
    <x v="3"/>
  </r>
  <r>
    <n v="1018459690"/>
    <x v="0"/>
    <n v="3"/>
    <n v="13"/>
    <n v="2"/>
    <n v="6910874"/>
    <n v="91978996.049999997"/>
    <x v="1"/>
    <n v="55833525"/>
    <n v="0"/>
    <n v="8"/>
    <n v="4"/>
    <n v="2"/>
    <x v="6"/>
  </r>
  <r>
    <n v="1088292705"/>
    <x v="43"/>
    <n v="4"/>
    <n v="13"/>
    <n v="4"/>
    <n v="12255315.833333334"/>
    <n v="109995454.09"/>
    <x v="1"/>
    <n v="88945800"/>
    <n v="0"/>
    <n v="6"/>
    <n v="10"/>
    <n v="9"/>
    <x v="4"/>
  </r>
  <r>
    <n v="1143856254"/>
    <x v="59"/>
    <n v="3"/>
    <n v="4"/>
    <n v="3"/>
    <n v="9040000"/>
    <n v="80000000"/>
    <x v="1"/>
    <n v="114860379"/>
    <n v="0"/>
    <n v="6"/>
    <n v="8"/>
    <n v="12"/>
    <x v="6"/>
  </r>
  <r>
    <n v="80135347"/>
    <x v="56"/>
    <n v="2"/>
    <n v="12"/>
    <n v="0"/>
    <n v="9780000"/>
    <n v="111370771.34"/>
    <x v="122"/>
    <n v="49903000"/>
    <n v="0"/>
    <n v="4"/>
    <n v="4"/>
    <n v="4"/>
    <x v="7"/>
  </r>
  <r>
    <n v="1064989604"/>
    <x v="7"/>
    <n v="1"/>
    <n v="2"/>
    <n v="0"/>
    <n v="1266000"/>
    <n v="43640000"/>
    <x v="1"/>
    <n v="22143228"/>
    <n v="0"/>
    <n v="0"/>
    <n v="5"/>
    <n v="5"/>
    <x v="5"/>
  </r>
  <r>
    <n v="1140836571"/>
    <x v="37"/>
    <n v="5"/>
    <n v="10"/>
    <n v="3"/>
    <n v="185000"/>
    <n v="1981022.83"/>
    <x v="1"/>
    <n v="39903596"/>
    <n v="0"/>
    <n v="2"/>
    <n v="8"/>
    <n v="7"/>
    <x v="5"/>
  </r>
  <r>
    <n v="1225092537"/>
    <x v="13"/>
    <n v="2"/>
    <n v="6"/>
    <n v="5"/>
    <n v="2293000"/>
    <n v="55350699"/>
    <x v="1"/>
    <n v="57939359"/>
    <n v="32799999.999999996"/>
    <n v="1"/>
    <n v="10"/>
    <n v="1"/>
    <x v="6"/>
  </r>
  <r>
    <n v="1144142801"/>
    <x v="108"/>
    <n v="7"/>
    <n v="7"/>
    <n v="1"/>
    <n v="7121868.25"/>
    <n v="77580500"/>
    <x v="1"/>
    <n v="86624865"/>
    <n v="0"/>
    <n v="4"/>
    <n v="5"/>
    <n v="23"/>
    <x v="6"/>
  </r>
  <r>
    <n v="1047383884"/>
    <x v="58"/>
    <n v="2"/>
    <n v="16"/>
    <n v="1"/>
    <n v="3690000"/>
    <n v="0"/>
    <x v="74"/>
    <n v="21288476"/>
    <n v="0"/>
    <n v="4"/>
    <n v="11"/>
    <n v="15"/>
    <x v="8"/>
  </r>
  <r>
    <n v="1015408311"/>
    <x v="56"/>
    <n v="6"/>
    <n v="12"/>
    <n v="2"/>
    <n v="4430000"/>
    <n v="96800000"/>
    <x v="123"/>
    <n v="46734299"/>
    <n v="0"/>
    <n v="7"/>
    <n v="7"/>
    <n v="7"/>
    <x v="0"/>
  </r>
  <r>
    <n v="1071164818"/>
    <x v="85"/>
    <n v="1"/>
    <n v="3"/>
    <n v="1"/>
    <n v="1845000"/>
    <n v="45700000"/>
    <x v="1"/>
    <n v="37050733"/>
    <n v="0"/>
    <n v="1"/>
    <n v="6"/>
    <n v="6"/>
    <x v="8"/>
  </r>
  <r>
    <n v="1022377076"/>
    <x v="35"/>
    <n v="1"/>
    <n v="4"/>
    <n v="1"/>
    <n v="1825988"/>
    <n v="26500000"/>
    <x v="1"/>
    <n v="17351196"/>
    <n v="0"/>
    <n v="1"/>
    <n v="2"/>
    <n v="1"/>
    <x v="4"/>
  </r>
  <r>
    <n v="1098703717"/>
    <x v="72"/>
    <n v="1"/>
    <n v="9"/>
    <n v="3"/>
    <n v="3093000"/>
    <n v="90000000"/>
    <x v="0"/>
    <n v="71477090"/>
    <n v="0"/>
    <n v="2"/>
    <n v="5"/>
    <n v="5"/>
    <x v="4"/>
  </r>
  <r>
    <n v="1143358107"/>
    <x v="110"/>
    <n v="1"/>
    <n v="14"/>
    <n v="1"/>
    <n v="3075000"/>
    <n v="57314169"/>
    <x v="1"/>
    <n v="49583000"/>
    <n v="0"/>
    <n v="1"/>
    <n v="16"/>
    <n v="16"/>
    <x v="2"/>
  </r>
  <r>
    <n v="1098408083"/>
    <x v="58"/>
    <n v="0"/>
    <n v="10"/>
    <n v="5"/>
    <n v="4060000"/>
    <n v="6500000"/>
    <x v="1"/>
    <n v="96857490"/>
    <n v="0"/>
    <n v="1"/>
    <n v="2"/>
    <n v="0"/>
    <x v="2"/>
  </r>
  <r>
    <n v="1064998594"/>
    <x v="75"/>
    <n v="6"/>
    <n v="12"/>
    <n v="0"/>
    <n v="8855000"/>
    <n v="132579615.88000001"/>
    <x v="49"/>
    <n v="5466489"/>
    <n v="0"/>
    <n v="5"/>
    <n v="10"/>
    <n v="10"/>
    <x v="3"/>
  </r>
  <r>
    <n v="53121278"/>
    <x v="9"/>
    <n v="4"/>
    <n v="12"/>
    <n v="14"/>
    <n v="2769704.166666667"/>
    <n v="101400000"/>
    <x v="124"/>
    <n v="125569823"/>
    <n v="0"/>
    <n v="0"/>
    <n v="8"/>
    <n v="9"/>
    <x v="4"/>
  </r>
  <r>
    <n v="1030576138"/>
    <x v="48"/>
    <n v="4"/>
    <n v="11"/>
    <n v="3"/>
    <n v="8425000"/>
    <n v="129500000"/>
    <x v="1"/>
    <n v="137210185"/>
    <n v="0"/>
    <n v="2"/>
    <n v="9"/>
    <n v="23"/>
    <x v="8"/>
  </r>
  <r>
    <n v="63549086"/>
    <x v="39"/>
    <n v="4"/>
    <n v="9"/>
    <n v="3"/>
    <n v="7380000"/>
    <n v="122750000"/>
    <x v="125"/>
    <n v="84941000"/>
    <n v="0"/>
    <n v="2"/>
    <n v="7"/>
    <n v="4"/>
    <x v="7"/>
  </r>
  <r>
    <n v="1096223839"/>
    <x v="2"/>
    <n v="0"/>
    <n v="3"/>
    <n v="0"/>
    <n v="1230000"/>
    <n v="0"/>
    <x v="1"/>
    <n v="45279000"/>
    <n v="0"/>
    <n v="0"/>
    <n v="4"/>
    <n v="0"/>
    <x v="8"/>
  </r>
  <r>
    <n v="29681212"/>
    <x v="4"/>
    <n v="9"/>
    <n v="13"/>
    <n v="1"/>
    <n v="2448750"/>
    <n v="63700000"/>
    <x v="1"/>
    <n v="50981463"/>
    <n v="0"/>
    <n v="3"/>
    <n v="4"/>
    <n v="3"/>
    <x v="3"/>
  </r>
  <r>
    <n v="53000345"/>
    <x v="48"/>
    <n v="0"/>
    <n v="16"/>
    <n v="2"/>
    <n v="9160500"/>
    <n v="71000000"/>
    <x v="126"/>
    <n v="104808200"/>
    <n v="0"/>
    <n v="7"/>
    <n v="9"/>
    <n v="9"/>
    <x v="4"/>
  </r>
  <r>
    <n v="66859870"/>
    <x v="0"/>
    <n v="12"/>
    <n v="15"/>
    <n v="2"/>
    <n v="3690000"/>
    <n v="28711675"/>
    <x v="104"/>
    <n v="86495884"/>
    <n v="0"/>
    <n v="3"/>
    <n v="13"/>
    <n v="11"/>
    <x v="6"/>
  </r>
  <r>
    <n v="1043001415"/>
    <x v="6"/>
    <n v="9"/>
    <n v="15"/>
    <n v="3"/>
    <n v="6395000"/>
    <n v="0"/>
    <x v="1"/>
    <n v="38021922"/>
    <n v="0"/>
    <n v="4"/>
    <n v="7"/>
    <n v="4"/>
    <x v="5"/>
  </r>
  <r>
    <n v="49720783"/>
    <x v="56"/>
    <n v="2"/>
    <n v="11"/>
    <n v="3"/>
    <n v="8015000"/>
    <n v="107700000"/>
    <x v="1"/>
    <n v="47122000"/>
    <n v="0"/>
    <n v="6"/>
    <n v="6"/>
    <n v="4"/>
    <x v="1"/>
  </r>
  <r>
    <n v="1088008100"/>
    <x v="34"/>
    <n v="7"/>
    <n v="13"/>
    <n v="6"/>
    <n v="12505000"/>
    <n v="121500000"/>
    <x v="1"/>
    <n v="49700000"/>
    <n v="0"/>
    <n v="9"/>
    <n v="13"/>
    <n v="9"/>
    <x v="4"/>
  </r>
  <r>
    <n v="1088303587"/>
    <x v="26"/>
    <n v="1"/>
    <n v="13"/>
    <n v="13"/>
    <n v="9428000"/>
    <n v="109200000"/>
    <x v="16"/>
    <n v="57534935"/>
    <n v="0"/>
    <n v="8"/>
    <n v="14"/>
    <n v="15"/>
    <x v="5"/>
  </r>
  <r>
    <n v="53168083"/>
    <x v="66"/>
    <n v="2"/>
    <n v="8"/>
    <n v="0"/>
    <n v="615000"/>
    <n v="0"/>
    <x v="0"/>
    <n v="9179000"/>
    <n v="0"/>
    <n v="0"/>
    <n v="3"/>
    <n v="1"/>
    <x v="1"/>
  </r>
  <r>
    <n v="49762724"/>
    <x v="64"/>
    <n v="1"/>
    <n v="5"/>
    <n v="0"/>
    <n v="0"/>
    <n v="0"/>
    <x v="1"/>
    <n v="4006285"/>
    <n v="0"/>
    <n v="0"/>
    <n v="6"/>
    <n v="4"/>
    <x v="0"/>
  </r>
  <r>
    <n v="59826204"/>
    <x v="9"/>
    <n v="5"/>
    <n v="7"/>
    <n v="5"/>
    <n v="12449000"/>
    <n v="250035000"/>
    <x v="1"/>
    <n v="184686052"/>
    <n v="0"/>
    <n v="7"/>
    <n v="11"/>
    <n v="10"/>
    <x v="4"/>
  </r>
  <r>
    <n v="43526336"/>
    <x v="10"/>
    <n v="1"/>
    <n v="4"/>
    <n v="8"/>
    <n v="1230000"/>
    <n v="66200000"/>
    <x v="5"/>
    <n v="17397000"/>
    <n v="0"/>
    <n v="2"/>
    <n v="3"/>
    <n v="4"/>
    <x v="2"/>
  </r>
  <r>
    <n v="1016029419"/>
    <x v="26"/>
    <n v="3"/>
    <n v="1"/>
    <n v="1"/>
    <n v="3690000"/>
    <n v="50000000"/>
    <x v="74"/>
    <n v="566000"/>
    <n v="0"/>
    <n v="5"/>
    <n v="8"/>
    <n v="17"/>
    <x v="3"/>
  </r>
  <r>
    <n v="1144201555"/>
    <x v="111"/>
    <n v="2"/>
    <n v="6"/>
    <n v="0"/>
    <n v="1270000"/>
    <n v="10000000"/>
    <x v="127"/>
    <n v="10620000"/>
    <n v="0"/>
    <n v="0"/>
    <n v="1"/>
    <n v="0"/>
    <x v="3"/>
  </r>
  <r>
    <n v="1022324423"/>
    <x v="68"/>
    <n v="4"/>
    <n v="12"/>
    <n v="0"/>
    <n v="-61995.75"/>
    <n v="17600000"/>
    <x v="49"/>
    <n v="69564482"/>
    <n v="0"/>
    <n v="3"/>
    <n v="10"/>
    <n v="12"/>
    <x v="3"/>
  </r>
  <r>
    <n v="1140855334"/>
    <x v="40"/>
    <n v="3"/>
    <n v="13"/>
    <n v="2"/>
    <n v="1947500"/>
    <n v="35000000"/>
    <x v="0"/>
    <n v="14957557"/>
    <n v="0"/>
    <n v="0"/>
    <n v="7"/>
    <n v="8"/>
    <x v="3"/>
  </r>
  <r>
    <n v="1098651364"/>
    <x v="50"/>
    <n v="1"/>
    <n v="12"/>
    <n v="3"/>
    <n v="3075000"/>
    <n v="0"/>
    <x v="1"/>
    <n v="93882000"/>
    <n v="80000000"/>
    <n v="5"/>
    <n v="8"/>
    <n v="7"/>
    <x v="3"/>
  </r>
  <r>
    <n v="35198506"/>
    <x v="53"/>
    <n v="7"/>
    <n v="3"/>
    <n v="4"/>
    <n v="6825000"/>
    <n v="65829449.940000005"/>
    <x v="1"/>
    <n v="64298449"/>
    <n v="0"/>
    <n v="1"/>
    <n v="7"/>
    <n v="13"/>
    <x v="3"/>
  </r>
  <r>
    <n v="1108934001"/>
    <x v="65"/>
    <n v="6"/>
    <n v="14"/>
    <n v="6"/>
    <n v="5535495.833333333"/>
    <n v="84209777"/>
    <x v="128"/>
    <n v="51504623"/>
    <n v="0"/>
    <n v="8"/>
    <n v="13"/>
    <n v="8"/>
    <x v="0"/>
  </r>
  <r>
    <n v="1140837022"/>
    <x v="112"/>
    <n v="0"/>
    <n v="3"/>
    <n v="0"/>
    <n v="2890000"/>
    <n v="27400000"/>
    <x v="1"/>
    <n v="11300000"/>
    <n v="0"/>
    <n v="0"/>
    <n v="0"/>
    <n v="2"/>
    <x v="8"/>
  </r>
  <r>
    <n v="1020770948"/>
    <x v="49"/>
    <n v="3"/>
    <n v="9"/>
    <n v="7"/>
    <n v="3690000"/>
    <n v="8700000"/>
    <x v="1"/>
    <n v="89497055"/>
    <n v="0"/>
    <n v="1"/>
    <n v="7"/>
    <n v="2"/>
    <x v="8"/>
  </r>
  <r>
    <n v="1032372097"/>
    <x v="5"/>
    <n v="0"/>
    <n v="5"/>
    <n v="0"/>
    <n v="0"/>
    <n v="30500000"/>
    <x v="1"/>
    <n v="7379571"/>
    <n v="0"/>
    <n v="0"/>
    <n v="0"/>
    <n v="1"/>
    <x v="8"/>
  </r>
  <r>
    <n v="1032399410"/>
    <x v="79"/>
    <n v="0"/>
    <n v="5"/>
    <n v="0"/>
    <n v="1230000"/>
    <n v="20000000"/>
    <x v="1"/>
    <n v="22426692"/>
    <n v="0"/>
    <n v="2"/>
    <n v="3"/>
    <n v="1"/>
    <x v="1"/>
  </r>
  <r>
    <n v="1140851012"/>
    <x v="56"/>
    <n v="0"/>
    <n v="9"/>
    <n v="1"/>
    <n v="2385604.5"/>
    <n v="11200000"/>
    <x v="129"/>
    <n v="18640399"/>
    <n v="0"/>
    <n v="0"/>
    <n v="9"/>
    <n v="8"/>
    <x v="1"/>
  </r>
  <r>
    <n v="31435396"/>
    <x v="63"/>
    <n v="7"/>
    <n v="12"/>
    <n v="0"/>
    <n v="11745000"/>
    <n v="95800000"/>
    <x v="1"/>
    <n v="67893868"/>
    <n v="0"/>
    <n v="2"/>
    <n v="8"/>
    <n v="9"/>
    <x v="7"/>
  </r>
  <r>
    <n v="1055273054"/>
    <x v="113"/>
    <n v="2"/>
    <n v="4"/>
    <n v="3"/>
    <n v="8120258"/>
    <n v="121478528.5"/>
    <x v="1"/>
    <n v="52540050"/>
    <n v="0"/>
    <n v="2"/>
    <n v="1"/>
    <n v="0"/>
    <x v="7"/>
  </r>
  <r>
    <n v="1014270719"/>
    <x v="114"/>
    <n v="3"/>
    <n v="12"/>
    <n v="7"/>
    <n v="4647500"/>
    <n v="76200000"/>
    <x v="1"/>
    <n v="83869000"/>
    <n v="0"/>
    <n v="6"/>
    <n v="4"/>
    <n v="2"/>
    <x v="0"/>
  </r>
  <r>
    <n v="1014265855"/>
    <x v="59"/>
    <n v="7"/>
    <n v="2"/>
    <n v="2"/>
    <n v="712780.83333333337"/>
    <n v="20000000"/>
    <x v="1"/>
    <n v="42326542"/>
    <n v="0"/>
    <n v="2"/>
    <n v="2"/>
    <n v="7"/>
    <x v="6"/>
  </r>
  <r>
    <n v="1031140758"/>
    <x v="65"/>
    <n v="2"/>
    <n v="5"/>
    <n v="6"/>
    <n v="816463.91666666663"/>
    <n v="83400000"/>
    <x v="1"/>
    <n v="49860052"/>
    <n v="0"/>
    <n v="0"/>
    <n v="2"/>
    <n v="0"/>
    <x v="1"/>
  </r>
  <r>
    <n v="1013647534"/>
    <x v="19"/>
    <n v="1"/>
    <n v="5"/>
    <n v="1"/>
    <n v="0"/>
    <n v="0"/>
    <x v="1"/>
    <n v="40850215"/>
    <n v="0"/>
    <n v="0"/>
    <n v="2"/>
    <n v="1"/>
    <x v="1"/>
  </r>
  <r>
    <n v="80920929"/>
    <x v="54"/>
    <n v="3"/>
    <n v="16"/>
    <n v="3"/>
    <n v="7101321.916666667"/>
    <n v="45300000"/>
    <x v="130"/>
    <n v="58848000"/>
    <n v="0"/>
    <n v="5"/>
    <n v="10"/>
    <n v="7"/>
    <x v="6"/>
  </r>
  <r>
    <n v="52969353"/>
    <x v="3"/>
    <n v="2"/>
    <n v="14"/>
    <n v="9"/>
    <n v="7625000"/>
    <n v="63000000"/>
    <x v="1"/>
    <n v="90562299"/>
    <n v="0"/>
    <n v="0"/>
    <n v="12"/>
    <n v="6"/>
    <x v="8"/>
  </r>
  <r>
    <n v="1151947043"/>
    <x v="9"/>
    <n v="2"/>
    <n v="16"/>
    <n v="7"/>
    <n v="9572500"/>
    <n v="110751179.38"/>
    <x v="1"/>
    <n v="19455588"/>
    <n v="0"/>
    <n v="5"/>
    <n v="10"/>
    <n v="11"/>
    <x v="4"/>
  </r>
  <r>
    <n v="1130597421"/>
    <x v="7"/>
    <n v="2"/>
    <n v="15"/>
    <n v="2"/>
    <n v="3219610"/>
    <n v="97480000"/>
    <x v="1"/>
    <n v="110006719"/>
    <n v="0"/>
    <n v="7"/>
    <n v="8"/>
    <n v="6"/>
    <x v="0"/>
  </r>
  <r>
    <n v="1130612571"/>
    <x v="24"/>
    <n v="6"/>
    <n v="12"/>
    <n v="1"/>
    <n v="3690000"/>
    <n v="38300000"/>
    <x v="1"/>
    <n v="89389413"/>
    <n v="0"/>
    <n v="3"/>
    <n v="3"/>
    <n v="6"/>
    <x v="8"/>
  </r>
  <r>
    <n v="1022981259"/>
    <x v="29"/>
    <n v="2"/>
    <n v="16"/>
    <n v="4"/>
    <n v="1457500"/>
    <n v="69100000"/>
    <x v="131"/>
    <n v="25430000"/>
    <n v="0"/>
    <n v="2"/>
    <n v="9"/>
    <n v="9"/>
    <x v="1"/>
  </r>
  <r>
    <n v="1069584339"/>
    <x v="3"/>
    <n v="2"/>
    <n v="7"/>
    <n v="3"/>
    <n v="3197500"/>
    <n v="23000000"/>
    <x v="1"/>
    <n v="17419201"/>
    <n v="0"/>
    <n v="1"/>
    <n v="2"/>
    <n v="4"/>
    <x v="1"/>
  </r>
  <r>
    <n v="1037606667"/>
    <x v="6"/>
    <n v="3"/>
    <n v="18"/>
    <n v="4"/>
    <n v="4532000"/>
    <n v="70900000"/>
    <x v="1"/>
    <n v="78046233"/>
    <n v="0"/>
    <n v="6"/>
    <n v="5"/>
    <n v="6"/>
    <x v="8"/>
  </r>
  <r>
    <n v="1152204752"/>
    <x v="5"/>
    <n v="3"/>
    <n v="1"/>
    <n v="1"/>
    <n v="1635833.3333333333"/>
    <n v="73710000"/>
    <x v="1"/>
    <n v="53345309"/>
    <n v="0"/>
    <n v="3"/>
    <n v="3"/>
    <n v="6"/>
    <x v="8"/>
  </r>
  <r>
    <n v="1032389982"/>
    <x v="16"/>
    <n v="0"/>
    <n v="11"/>
    <n v="1"/>
    <n v="5350000"/>
    <n v="27100000"/>
    <x v="132"/>
    <n v="128346000"/>
    <n v="0"/>
    <n v="1"/>
    <n v="7"/>
    <n v="2"/>
    <x v="2"/>
  </r>
  <r>
    <n v="63552070"/>
    <x v="25"/>
    <n v="3"/>
    <n v="4"/>
    <n v="10"/>
    <n v="6303965.5"/>
    <n v="22100000"/>
    <x v="1"/>
    <n v="78150453"/>
    <n v="0"/>
    <n v="1"/>
    <n v="6"/>
    <n v="7"/>
    <x v="8"/>
  </r>
  <r>
    <n v="1033749808"/>
    <x v="61"/>
    <n v="0"/>
    <n v="1"/>
    <n v="1"/>
    <n v="687244.83333333337"/>
    <n v="0"/>
    <x v="133"/>
    <n v="0"/>
    <n v="0"/>
    <n v="1"/>
    <n v="9"/>
    <n v="3"/>
    <x v="4"/>
  </r>
  <r>
    <n v="1010161953"/>
    <x v="101"/>
    <n v="10"/>
    <n v="0"/>
    <n v="1"/>
    <n v="6082217.916666666"/>
    <n v="111200000"/>
    <x v="134"/>
    <n v="26489477"/>
    <n v="0"/>
    <n v="2"/>
    <n v="7"/>
    <n v="6"/>
    <x v="0"/>
  </r>
  <r>
    <n v="40334560"/>
    <x v="115"/>
    <n v="0"/>
    <n v="2"/>
    <n v="2"/>
    <n v="370000"/>
    <n v="0"/>
    <x v="1"/>
    <n v="16081227"/>
    <n v="0"/>
    <n v="0"/>
    <n v="0"/>
    <n v="0"/>
    <x v="5"/>
  </r>
  <r>
    <n v="1107064830"/>
    <x v="32"/>
    <n v="3"/>
    <n v="12"/>
    <n v="4"/>
    <n v="6819040.833333333"/>
    <n v="47370000"/>
    <x v="1"/>
    <n v="21107058"/>
    <n v="0"/>
    <n v="3"/>
    <n v="5"/>
    <n v="6"/>
    <x v="3"/>
  </r>
  <r>
    <n v="9295484"/>
    <x v="110"/>
    <n v="3"/>
    <n v="6"/>
    <n v="1"/>
    <n v="6185705.5"/>
    <n v="87300000"/>
    <x v="135"/>
    <n v="73709525"/>
    <n v="0"/>
    <n v="0"/>
    <n v="6"/>
    <n v="9"/>
    <x v="5"/>
  </r>
  <r>
    <n v="53093283"/>
    <x v="115"/>
    <n v="2"/>
    <n v="4"/>
    <n v="0"/>
    <n v="2460000"/>
    <n v="34000000"/>
    <x v="136"/>
    <n v="59503590"/>
    <n v="0"/>
    <n v="1"/>
    <n v="3"/>
    <n v="2"/>
    <x v="2"/>
  </r>
  <r>
    <n v="1144166407"/>
    <x v="39"/>
    <n v="7"/>
    <n v="6"/>
    <n v="0"/>
    <n v="1865000"/>
    <n v="68300000"/>
    <x v="1"/>
    <n v="63631800"/>
    <n v="0"/>
    <n v="2"/>
    <n v="4"/>
    <n v="10"/>
    <x v="9"/>
  </r>
  <r>
    <n v="1023890332"/>
    <x v="3"/>
    <n v="4"/>
    <n v="3"/>
    <n v="2"/>
    <n v="8287828.916666667"/>
    <n v="3500000"/>
    <x v="137"/>
    <n v="47741754"/>
    <n v="0"/>
    <n v="6"/>
    <n v="15"/>
    <n v="15"/>
    <x v="9"/>
  </r>
  <r>
    <n v="1110503292"/>
    <x v="7"/>
    <n v="2"/>
    <n v="13"/>
    <n v="3"/>
    <n v="6072959.75"/>
    <n v="72833710.450000003"/>
    <x v="1"/>
    <n v="62285460"/>
    <n v="0"/>
    <n v="6"/>
    <n v="5"/>
    <n v="7"/>
    <x v="9"/>
  </r>
  <r>
    <n v="1113634883"/>
    <x v="38"/>
    <n v="2"/>
    <n v="15"/>
    <n v="2"/>
    <n v="4353376.666666667"/>
    <n v="124300000"/>
    <x v="1"/>
    <n v="89060634"/>
    <n v="0"/>
    <n v="7"/>
    <n v="10"/>
    <n v="5"/>
    <x v="9"/>
  </r>
  <r>
    <n v="1130672714"/>
    <x v="83"/>
    <n v="3"/>
    <n v="7"/>
    <n v="4"/>
    <n v="1865000"/>
    <n v="-14000000"/>
    <x v="96"/>
    <n v="16409000"/>
    <n v="0"/>
    <n v="5"/>
    <n v="8"/>
    <n v="6"/>
    <x v="9"/>
  </r>
  <r>
    <n v="1088308878"/>
    <x v="49"/>
    <n v="7"/>
    <n v="17"/>
    <n v="9"/>
    <n v="11130000"/>
    <n v="95471369.430000007"/>
    <x v="138"/>
    <n v="91598137"/>
    <n v="0"/>
    <n v="7"/>
    <n v="11"/>
    <n v="9"/>
    <x v="9"/>
  </r>
  <r>
    <n v="1130670335"/>
    <x v="38"/>
    <n v="2"/>
    <n v="8"/>
    <n v="0"/>
    <n v="3625307.75"/>
    <n v="53000000"/>
    <x v="1"/>
    <n v="40819851"/>
    <n v="0"/>
    <n v="2"/>
    <n v="3"/>
    <n v="2"/>
    <x v="9"/>
  </r>
  <r>
    <n v="1144168987"/>
    <x v="89"/>
    <n v="4"/>
    <n v="1"/>
    <n v="1"/>
    <n v="2078833.3333333333"/>
    <n v="23000000"/>
    <x v="1"/>
    <n v="38164095"/>
    <n v="0"/>
    <n v="1"/>
    <n v="10"/>
    <n v="5"/>
    <x v="9"/>
  </r>
  <r>
    <n v="37321903"/>
    <x v="73"/>
    <n v="0"/>
    <n v="0"/>
    <n v="0"/>
    <n v="0"/>
    <n v="0"/>
    <x v="1"/>
    <n v="0"/>
    <n v="0"/>
    <n v="0"/>
    <n v="0"/>
    <n v="0"/>
    <x v="9"/>
  </r>
  <r>
    <n v="1019088583"/>
    <x v="83"/>
    <n v="3"/>
    <n v="2"/>
    <n v="2"/>
    <n v="0"/>
    <n v="18100000"/>
    <x v="4"/>
    <n v="47253587"/>
    <n v="0"/>
    <n v="0"/>
    <n v="1"/>
    <n v="7"/>
    <x v="9"/>
  </r>
  <r>
    <n v="80807040"/>
    <x v="53"/>
    <n v="9"/>
    <n v="12"/>
    <n v="2"/>
    <n v="5643125"/>
    <n v="83800000"/>
    <x v="1"/>
    <n v="83085000"/>
    <n v="0"/>
    <n v="0"/>
    <n v="10"/>
    <n v="2"/>
    <x v="9"/>
  </r>
  <r>
    <n v="80058124"/>
    <x v="35"/>
    <n v="1"/>
    <n v="8"/>
    <n v="6"/>
    <n v="1785000"/>
    <n v="50500000"/>
    <x v="139"/>
    <n v="59417965"/>
    <n v="0"/>
    <n v="1"/>
    <n v="3"/>
    <n v="2"/>
    <x v="9"/>
  </r>
  <r>
    <n v="52067261"/>
    <x v="32"/>
    <n v="6"/>
    <n v="12"/>
    <n v="4"/>
    <n v="11029666.666666666"/>
    <n v="97600000"/>
    <x v="1"/>
    <n v="139130000"/>
    <n v="0"/>
    <n v="4"/>
    <n v="9"/>
    <n v="10"/>
    <x v="9"/>
  </r>
  <r>
    <n v="1088008856"/>
    <x v="27"/>
    <n v="6"/>
    <n v="19"/>
    <n v="4"/>
    <n v="9349645.833333334"/>
    <n v="79300000"/>
    <x v="126"/>
    <n v="58564000"/>
    <n v="0"/>
    <n v="11"/>
    <n v="16"/>
    <n v="16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zona">
  <location ref="W23:Y34" firstHeaderRow="0" firstDataRow="1" firstDataCol="1"/>
  <pivotFields count="14">
    <pivotField showAll="0"/>
    <pivotField dataField="1" numFmtId="173" showAll="0">
      <items count="117">
        <item x="73"/>
        <item x="112"/>
        <item x="98"/>
        <item x="104"/>
        <item x="102"/>
        <item x="107"/>
        <item x="47"/>
        <item x="90"/>
        <item x="88"/>
        <item x="100"/>
        <item x="81"/>
        <item x="86"/>
        <item x="96"/>
        <item x="79"/>
        <item x="37"/>
        <item x="70"/>
        <item x="61"/>
        <item x="5"/>
        <item x="33"/>
        <item x="115"/>
        <item x="52"/>
        <item x="89"/>
        <item x="62"/>
        <item x="25"/>
        <item x="42"/>
        <item x="66"/>
        <item x="19"/>
        <item x="68"/>
        <item x="85"/>
        <item x="11"/>
        <item x="10"/>
        <item x="36"/>
        <item x="38"/>
        <item x="40"/>
        <item x="13"/>
        <item x="17"/>
        <item x="65"/>
        <item x="45"/>
        <item x="26"/>
        <item x="83"/>
        <item x="20"/>
        <item x="54"/>
        <item x="39"/>
        <item x="56"/>
        <item x="6"/>
        <item x="28"/>
        <item x="31"/>
        <item x="51"/>
        <item x="7"/>
        <item x="18"/>
        <item x="2"/>
        <item x="48"/>
        <item x="3"/>
        <item x="0"/>
        <item x="14"/>
        <item x="50"/>
        <item x="49"/>
        <item x="64"/>
        <item x="9"/>
        <item x="43"/>
        <item x="84"/>
        <item x="59"/>
        <item x="15"/>
        <item x="35"/>
        <item x="41"/>
        <item x="22"/>
        <item x="58"/>
        <item x="32"/>
        <item x="21"/>
        <item x="4"/>
        <item x="67"/>
        <item x="72"/>
        <item x="108"/>
        <item x="24"/>
        <item x="53"/>
        <item x="23"/>
        <item x="29"/>
        <item x="91"/>
        <item x="46"/>
        <item x="12"/>
        <item x="63"/>
        <item x="8"/>
        <item x="1"/>
        <item x="30"/>
        <item x="93"/>
        <item x="75"/>
        <item x="71"/>
        <item x="27"/>
        <item x="34"/>
        <item x="78"/>
        <item x="55"/>
        <item x="76"/>
        <item x="44"/>
        <item x="16"/>
        <item x="114"/>
        <item x="97"/>
        <item x="80"/>
        <item x="69"/>
        <item x="82"/>
        <item x="113"/>
        <item x="110"/>
        <item x="101"/>
        <item x="106"/>
        <item x="109"/>
        <item x="99"/>
        <item x="77"/>
        <item x="60"/>
        <item x="87"/>
        <item x="57"/>
        <item x="92"/>
        <item x="103"/>
        <item x="111"/>
        <item x="105"/>
        <item x="74"/>
        <item x="95"/>
        <item x="94"/>
        <item t="default"/>
      </items>
    </pivotField>
    <pivotField numFmtId="173" showAll="0"/>
    <pivotField dataField="1"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axis="axisRow" showAll="0">
      <items count="11">
        <item x="5"/>
        <item x="0"/>
        <item x="3"/>
        <item x="1"/>
        <item x="2"/>
        <item x="8"/>
        <item x="7"/>
        <item x="6"/>
        <item x="4"/>
        <item x="9"/>
        <item t="default"/>
      </items>
    </pivotField>
  </pivotFields>
  <rowFields count="1">
    <field x="1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N° Cuentas" fld="1" baseField="0" baseItem="0"/>
    <dataField name="Suma de N° Tarjetas De Crédit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ZONA">
  <location ref="W10:Y20" firstHeaderRow="0" firstDataRow="1" firstDataCol="1"/>
  <pivotFields count="20">
    <pivotField numFmtId="3" showAll="0"/>
    <pivotField showAll="0"/>
    <pivotField showAll="0"/>
    <pivotField showAll="0"/>
    <pivotField showAll="0"/>
    <pivotField showAll="0"/>
    <pivotField axis="axisRow" showAll="0">
      <items count="10">
        <item x="5"/>
        <item x="0"/>
        <item x="3"/>
        <item x="1"/>
        <item x="2"/>
        <item x="8"/>
        <item x="7"/>
        <item x="6"/>
        <item x="4"/>
        <item t="default"/>
      </items>
    </pivotField>
    <pivotField dataField="1" numFmtId="173" showAll="0"/>
    <pivotField numFmtId="173" showAll="0"/>
    <pivotField dataField="1"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numFmtId="173" showAll="0"/>
    <pivotField dragToRow="0" dragToCol="0" dragToPage="0" showAll="0" defaultSubtota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N° Cuentas por mes" fld="7" baseField="0" baseItem="0"/>
    <dataField name="N° Tarjetas De Crédito por mes" fld="9" baseField="0" baseItem="0"/>
  </dataFields>
  <formats count="3">
    <format dxfId="5">
      <pivotArea field="6" type="button" dataOnly="0" labelOnly="1" outline="0" axis="axisRow" fieldPosition="0"/>
    </format>
    <format dxfId="4">
      <pivotArea dataOnly="0" labelOnly="1" fieldPosition="0">
        <references count="1">
          <reference field="6" count="0"/>
        </references>
      </pivotArea>
    </format>
    <format dxfId="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5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9" rowHeaderCaption="zona">
  <location ref="W39:AA49" firstHeaderRow="0" firstDataRow="1" firstDataCol="1"/>
  <pivotFields count="14">
    <pivotField showAll="0"/>
    <pivotField numFmtId="173" showAll="0">
      <items count="117">
        <item x="73"/>
        <item x="112"/>
        <item x="98"/>
        <item x="104"/>
        <item x="102"/>
        <item x="107"/>
        <item x="47"/>
        <item x="90"/>
        <item x="88"/>
        <item x="100"/>
        <item x="81"/>
        <item x="86"/>
        <item x="96"/>
        <item x="79"/>
        <item x="37"/>
        <item x="70"/>
        <item x="61"/>
        <item x="5"/>
        <item x="33"/>
        <item x="115"/>
        <item x="52"/>
        <item x="89"/>
        <item x="62"/>
        <item x="25"/>
        <item x="42"/>
        <item x="66"/>
        <item x="19"/>
        <item x="68"/>
        <item x="85"/>
        <item x="11"/>
        <item x="10"/>
        <item x="36"/>
        <item x="38"/>
        <item x="40"/>
        <item x="13"/>
        <item x="17"/>
        <item x="65"/>
        <item x="45"/>
        <item x="26"/>
        <item x="83"/>
        <item x="20"/>
        <item x="54"/>
        <item x="39"/>
        <item x="56"/>
        <item x="6"/>
        <item x="28"/>
        <item x="31"/>
        <item x="51"/>
        <item x="7"/>
        <item x="18"/>
        <item x="2"/>
        <item x="48"/>
        <item x="3"/>
        <item x="0"/>
        <item x="14"/>
        <item x="50"/>
        <item x="49"/>
        <item x="64"/>
        <item x="9"/>
        <item x="43"/>
        <item x="84"/>
        <item x="59"/>
        <item x="15"/>
        <item x="35"/>
        <item x="41"/>
        <item x="22"/>
        <item x="58"/>
        <item x="32"/>
        <item x="21"/>
        <item x="4"/>
        <item x="67"/>
        <item x="72"/>
        <item x="108"/>
        <item x="24"/>
        <item x="53"/>
        <item x="23"/>
        <item x="29"/>
        <item x="91"/>
        <item x="46"/>
        <item x="12"/>
        <item x="63"/>
        <item x="8"/>
        <item x="1"/>
        <item x="30"/>
        <item x="93"/>
        <item x="75"/>
        <item x="71"/>
        <item x="27"/>
        <item x="34"/>
        <item x="78"/>
        <item x="55"/>
        <item x="76"/>
        <item x="44"/>
        <item x="16"/>
        <item x="114"/>
        <item x="97"/>
        <item x="80"/>
        <item x="69"/>
        <item x="82"/>
        <item x="113"/>
        <item x="110"/>
        <item x="101"/>
        <item x="106"/>
        <item x="109"/>
        <item x="99"/>
        <item x="77"/>
        <item x="60"/>
        <item x="87"/>
        <item x="57"/>
        <item x="92"/>
        <item x="103"/>
        <item x="111"/>
        <item x="105"/>
        <item x="74"/>
        <item x="95"/>
        <item x="94"/>
        <item t="default"/>
      </items>
    </pivotField>
    <pivotField numFmtId="173" showAll="0"/>
    <pivotField numFmtId="173" showAll="0"/>
    <pivotField numFmtId="173" showAll="0"/>
    <pivotField numFmtId="173" showAll="0"/>
    <pivotField dataField="1" numFmtId="173" showAll="0"/>
    <pivotField dataField="1" numFmtId="173" showAll="0">
      <items count="141">
        <item x="1"/>
        <item x="95"/>
        <item x="97"/>
        <item x="124"/>
        <item x="115"/>
        <item x="109"/>
        <item x="6"/>
        <item x="21"/>
        <item x="56"/>
        <item x="68"/>
        <item x="14"/>
        <item x="47"/>
        <item x="91"/>
        <item x="132"/>
        <item x="9"/>
        <item x="57"/>
        <item x="96"/>
        <item x="7"/>
        <item x="108"/>
        <item x="52"/>
        <item x="106"/>
        <item x="92"/>
        <item x="58"/>
        <item x="114"/>
        <item x="80"/>
        <item x="34"/>
        <item x="87"/>
        <item x="13"/>
        <item x="73"/>
        <item x="71"/>
        <item x="41"/>
        <item x="78"/>
        <item x="113"/>
        <item x="19"/>
        <item x="2"/>
        <item x="54"/>
        <item x="139"/>
        <item x="49"/>
        <item x="131"/>
        <item x="25"/>
        <item x="120"/>
        <item x="110"/>
        <item x="55"/>
        <item x="126"/>
        <item x="100"/>
        <item x="46"/>
        <item x="123"/>
        <item x="10"/>
        <item x="35"/>
        <item x="104"/>
        <item x="0"/>
        <item x="130"/>
        <item x="28"/>
        <item x="16"/>
        <item x="118"/>
        <item x="31"/>
        <item x="99"/>
        <item x="11"/>
        <item x="93"/>
        <item x="117"/>
        <item x="18"/>
        <item x="98"/>
        <item x="43"/>
        <item x="105"/>
        <item x="74"/>
        <item x="24"/>
        <item x="75"/>
        <item x="129"/>
        <item x="136"/>
        <item x="121"/>
        <item x="30"/>
        <item x="79"/>
        <item x="111"/>
        <item x="5"/>
        <item x="39"/>
        <item x="85"/>
        <item x="135"/>
        <item x="119"/>
        <item x="37"/>
        <item x="45"/>
        <item x="65"/>
        <item x="29"/>
        <item x="12"/>
        <item x="15"/>
        <item x="53"/>
        <item x="33"/>
        <item x="4"/>
        <item x="84"/>
        <item x="60"/>
        <item x="63"/>
        <item x="103"/>
        <item x="89"/>
        <item x="128"/>
        <item x="138"/>
        <item x="8"/>
        <item x="137"/>
        <item x="86"/>
        <item x="51"/>
        <item x="102"/>
        <item x="20"/>
        <item x="26"/>
        <item x="70"/>
        <item x="133"/>
        <item x="69"/>
        <item x="127"/>
        <item x="23"/>
        <item x="112"/>
        <item x="40"/>
        <item x="44"/>
        <item x="48"/>
        <item x="134"/>
        <item x="122"/>
        <item x="76"/>
        <item x="27"/>
        <item x="66"/>
        <item x="82"/>
        <item x="72"/>
        <item x="116"/>
        <item x="107"/>
        <item x="94"/>
        <item x="22"/>
        <item x="50"/>
        <item x="64"/>
        <item x="62"/>
        <item x="88"/>
        <item x="101"/>
        <item x="125"/>
        <item x="32"/>
        <item x="83"/>
        <item x="81"/>
        <item x="36"/>
        <item x="17"/>
        <item x="77"/>
        <item x="3"/>
        <item x="38"/>
        <item x="90"/>
        <item x="61"/>
        <item x="42"/>
        <item x="59"/>
        <item x="67"/>
        <item t="default"/>
      </items>
    </pivotField>
    <pivotField dataField="1" numFmtId="173" showAll="0"/>
    <pivotField dataField="1" numFmtId="173" showAll="0"/>
    <pivotField numFmtId="173" showAll="0"/>
    <pivotField numFmtId="173" showAll="0"/>
    <pivotField numFmtId="173" showAll="0"/>
    <pivotField axis="axisRow" showAll="0">
      <items count="11">
        <item x="5"/>
        <item x="0"/>
        <item x="3"/>
        <item x="1"/>
        <item x="2"/>
        <item x="8"/>
        <item x="7"/>
        <item x="6"/>
        <item x="4"/>
        <item h="1" x="9"/>
        <item t="default"/>
      </items>
    </pivotField>
  </pivotFields>
  <rowFields count="1">
    <field x="1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Consumo (Millones)" fld="6" baseField="0" baseItem="0" numFmtId="175"/>
    <dataField name="Suma de Libranza (Millones)" fld="7" baseField="0" baseItem="0" numFmtId="175"/>
    <dataField name="Suma de Compra Cartera (Millones)" fld="8" baseField="0" baseItem="0" numFmtId="175"/>
    <dataField name="Suma de Vehículo (Millones)" fld="9" baseField="0" baseItem="0" numFmtId="1"/>
  </dataFields>
  <chartFormats count="4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B1:N497" totalsRowShown="0" headerRowDxfId="22" dataDxfId="20" headerRowBorderDxfId="21" tableBorderDxfId="19" headerRowCellStyle="Normal 7" dataCellStyle="Millares 2">
  <autoFilter ref="B1:N497"/>
  <tableColumns count="13">
    <tableColumn id="1" name="N° Cuentas" dataDxfId="18" dataCellStyle="Millares 2"/>
    <tableColumn id="2" name="N° CDT" dataDxfId="17" dataCellStyle="Millares 2"/>
    <tableColumn id="3" name="N° Tarjetas De Crédito" dataDxfId="16" dataCellStyle="Millares 2"/>
    <tableColumn id="4" name="N° Debitos Automáticos" dataDxfId="15" dataCellStyle="Millares 2"/>
    <tableColumn id="5" name="Plan Familia (Millones)" dataDxfId="14" dataCellStyle="Millares 2"/>
    <tableColumn id="6" name="Consumo (Millones)" dataDxfId="13" dataCellStyle="Millares 2"/>
    <tableColumn id="7" name="Libranza (Millones)" dataDxfId="12" dataCellStyle="Millares 2"/>
    <tableColumn id="8" name="Compra Cartera (Millones)" dataDxfId="11" dataCellStyle="Millares 2"/>
    <tableColumn id="9" name="Vehículo (Millones)" dataDxfId="10" dataCellStyle="Millares 2"/>
    <tableColumn id="10" name="N°  Seguros Desempleo" dataDxfId="9" dataCellStyle="Millares 2"/>
    <tableColumn id="11" name="N° Seguros Fraude" dataDxfId="8" dataCellStyle="Millares 2"/>
    <tableColumn id="12" name="N° Seguros Accidentes Per." dataDxfId="7" dataCellStyle="Millares 2"/>
    <tableColumn id="13" name="ZONA" dataDxfId="6" dataCellStyle="Millares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97"/>
  <sheetViews>
    <sheetView showGridLines="0" topLeftCell="D1" zoomScaleNormal="100" workbookViewId="0">
      <pane ySplit="1" topLeftCell="A476" activePane="bottomLeft" state="frozen"/>
      <selection pane="bottomLeft" activeCell="A490" sqref="A490"/>
    </sheetView>
  </sheetViews>
  <sheetFormatPr baseColWidth="10" defaultColWidth="11.42578125" defaultRowHeight="15"/>
  <cols>
    <col min="1" max="1" width="11" style="77" customWidth="1"/>
    <col min="2" max="2" width="11.140625" style="77" customWidth="1"/>
    <col min="3" max="3" width="10.7109375" style="77" customWidth="1"/>
    <col min="4" max="5" width="14.28515625" style="77" customWidth="1"/>
    <col min="6" max="6" width="14.140625" style="77" customWidth="1"/>
    <col min="7" max="7" width="15.140625" style="77" bestFit="1" customWidth="1"/>
    <col min="8" max="8" width="14.140625" style="77" bestFit="1" customWidth="1"/>
    <col min="9" max="9" width="16" style="77" customWidth="1"/>
    <col min="10" max="10" width="12.5703125" style="77" bestFit="1" customWidth="1"/>
    <col min="11" max="11" width="11.42578125" style="77"/>
    <col min="12" max="12" width="11" style="77" bestFit="1" customWidth="1"/>
    <col min="13" max="13" width="16" style="77" customWidth="1"/>
    <col min="14" max="16384" width="11.42578125" style="77"/>
  </cols>
  <sheetData>
    <row r="1" spans="1:13" ht="30.75" thickBot="1">
      <c r="A1" s="72" t="s">
        <v>66</v>
      </c>
      <c r="B1" s="73" t="s">
        <v>72</v>
      </c>
      <c r="C1" s="74" t="s">
        <v>73</v>
      </c>
      <c r="D1" s="74" t="s">
        <v>74</v>
      </c>
      <c r="E1" s="74" t="s">
        <v>75</v>
      </c>
      <c r="F1" s="74" t="s">
        <v>76</v>
      </c>
      <c r="G1" s="74" t="s">
        <v>77</v>
      </c>
      <c r="H1" s="75" t="s">
        <v>78</v>
      </c>
      <c r="I1" s="75" t="s">
        <v>79</v>
      </c>
      <c r="J1" s="75" t="s">
        <v>80</v>
      </c>
      <c r="K1" s="75" t="s">
        <v>81</v>
      </c>
      <c r="L1" s="75" t="s">
        <v>82</v>
      </c>
      <c r="M1" s="76" t="s">
        <v>83</v>
      </c>
    </row>
    <row r="2" spans="1:13">
      <c r="A2" s="78">
        <v>9375240</v>
      </c>
      <c r="B2" s="79">
        <v>64</v>
      </c>
      <c r="C2" s="79">
        <v>2</v>
      </c>
      <c r="D2" s="79">
        <v>12</v>
      </c>
      <c r="E2" s="79">
        <v>1</v>
      </c>
      <c r="F2" s="79">
        <v>6150000</v>
      </c>
      <c r="G2" s="79">
        <v>85000000</v>
      </c>
      <c r="H2" s="79">
        <v>20000000</v>
      </c>
      <c r="I2" s="79">
        <v>31588778</v>
      </c>
      <c r="J2" s="79">
        <v>0</v>
      </c>
      <c r="K2" s="79">
        <v>0</v>
      </c>
      <c r="L2" s="79">
        <v>4</v>
      </c>
      <c r="M2" s="79">
        <v>9</v>
      </c>
    </row>
    <row r="3" spans="1:13">
      <c r="A3" s="78">
        <v>1023008416</v>
      </c>
      <c r="B3" s="79">
        <v>93</v>
      </c>
      <c r="C3" s="79">
        <v>6</v>
      </c>
      <c r="D3" s="79">
        <v>16</v>
      </c>
      <c r="E3" s="79">
        <v>10</v>
      </c>
      <c r="F3" s="79">
        <v>9930000</v>
      </c>
      <c r="G3" s="79">
        <v>91971593.650000006</v>
      </c>
      <c r="H3" s="79">
        <v>0</v>
      </c>
      <c r="I3" s="79">
        <v>75555084</v>
      </c>
      <c r="J3" s="79">
        <v>0</v>
      </c>
      <c r="K3" s="79">
        <v>6</v>
      </c>
      <c r="L3" s="79">
        <v>16</v>
      </c>
      <c r="M3" s="79">
        <v>5</v>
      </c>
    </row>
    <row r="4" spans="1:13">
      <c r="A4" s="78">
        <v>41960913</v>
      </c>
      <c r="B4" s="79">
        <v>61</v>
      </c>
      <c r="C4" s="79">
        <v>3</v>
      </c>
      <c r="D4" s="79">
        <v>10</v>
      </c>
      <c r="E4" s="79">
        <v>0</v>
      </c>
      <c r="F4" s="79">
        <v>8055000</v>
      </c>
      <c r="G4" s="79">
        <v>80200000</v>
      </c>
      <c r="H4" s="79">
        <v>14500000</v>
      </c>
      <c r="I4" s="79">
        <v>81043832</v>
      </c>
      <c r="J4" s="79">
        <v>0</v>
      </c>
      <c r="K4" s="79">
        <v>9</v>
      </c>
      <c r="L4" s="79">
        <v>9</v>
      </c>
      <c r="M4" s="79">
        <v>10</v>
      </c>
    </row>
    <row r="5" spans="1:13">
      <c r="A5" s="78">
        <v>1010229345</v>
      </c>
      <c r="B5" s="79">
        <v>63</v>
      </c>
      <c r="C5" s="79">
        <v>2</v>
      </c>
      <c r="D5" s="79">
        <v>14</v>
      </c>
      <c r="E5" s="79">
        <v>4</v>
      </c>
      <c r="F5" s="79">
        <v>7995000</v>
      </c>
      <c r="G5" s="79">
        <v>103851600</v>
      </c>
      <c r="H5" s="79">
        <v>100000000</v>
      </c>
      <c r="I5" s="79">
        <v>123733612</v>
      </c>
      <c r="J5" s="79">
        <v>0</v>
      </c>
      <c r="K5" s="79">
        <v>4</v>
      </c>
      <c r="L5" s="79">
        <v>5</v>
      </c>
      <c r="M5" s="79">
        <v>0</v>
      </c>
    </row>
    <row r="6" spans="1:13">
      <c r="A6" s="78">
        <v>1054920307</v>
      </c>
      <c r="B6" s="79">
        <v>80</v>
      </c>
      <c r="C6" s="79">
        <v>3</v>
      </c>
      <c r="D6" s="79">
        <v>15</v>
      </c>
      <c r="E6" s="79">
        <v>5</v>
      </c>
      <c r="F6" s="79">
        <v>7970833.333333333</v>
      </c>
      <c r="G6" s="79">
        <v>75000000</v>
      </c>
      <c r="H6" s="79">
        <v>36000000</v>
      </c>
      <c r="I6" s="79">
        <v>69315000</v>
      </c>
      <c r="J6" s="79">
        <v>0</v>
      </c>
      <c r="K6" s="79">
        <v>5</v>
      </c>
      <c r="L6" s="79">
        <v>10</v>
      </c>
      <c r="M6" s="79">
        <v>8</v>
      </c>
    </row>
    <row r="7" spans="1:13">
      <c r="A7" s="78">
        <v>1014256052</v>
      </c>
      <c r="B7" s="79">
        <v>28</v>
      </c>
      <c r="C7" s="79">
        <v>1</v>
      </c>
      <c r="D7" s="79">
        <v>14</v>
      </c>
      <c r="E7" s="79">
        <v>0</v>
      </c>
      <c r="F7" s="79">
        <v>9216250</v>
      </c>
      <c r="G7" s="79">
        <v>99900000</v>
      </c>
      <c r="H7" s="79">
        <v>0</v>
      </c>
      <c r="I7" s="79">
        <v>42452982</v>
      </c>
      <c r="J7" s="79">
        <v>0</v>
      </c>
      <c r="K7" s="79">
        <v>10</v>
      </c>
      <c r="L7" s="79">
        <v>11</v>
      </c>
      <c r="M7" s="79">
        <v>12</v>
      </c>
    </row>
    <row r="8" spans="1:13">
      <c r="A8" s="78">
        <v>1140864201</v>
      </c>
      <c r="B8" s="79">
        <v>55</v>
      </c>
      <c r="C8" s="79">
        <v>1</v>
      </c>
      <c r="D8" s="79">
        <v>10</v>
      </c>
      <c r="E8" s="79">
        <v>0</v>
      </c>
      <c r="F8" s="79">
        <v>3630000</v>
      </c>
      <c r="G8" s="79">
        <v>30000000</v>
      </c>
      <c r="H8" s="79">
        <v>0</v>
      </c>
      <c r="I8" s="79">
        <v>56422000</v>
      </c>
      <c r="J8" s="79">
        <v>0</v>
      </c>
      <c r="K8" s="79">
        <v>3</v>
      </c>
      <c r="L8" s="79">
        <v>14</v>
      </c>
      <c r="M8" s="79">
        <v>20</v>
      </c>
    </row>
    <row r="9" spans="1:13">
      <c r="A9" s="78">
        <v>1017126050</v>
      </c>
      <c r="B9" s="79">
        <v>59</v>
      </c>
      <c r="C9" s="79">
        <v>0</v>
      </c>
      <c r="D9" s="79">
        <v>0</v>
      </c>
      <c r="E9" s="79">
        <v>0</v>
      </c>
      <c r="F9" s="79">
        <v>0</v>
      </c>
      <c r="G9" s="79">
        <v>0</v>
      </c>
      <c r="H9" s="79">
        <v>0</v>
      </c>
      <c r="I9" s="79">
        <v>3426881</v>
      </c>
      <c r="J9" s="79">
        <v>0</v>
      </c>
      <c r="K9" s="79">
        <v>0</v>
      </c>
      <c r="L9" s="79">
        <v>4</v>
      </c>
      <c r="M9" s="79">
        <v>5</v>
      </c>
    </row>
    <row r="10" spans="1:13">
      <c r="A10" s="78">
        <v>1075664031</v>
      </c>
      <c r="B10" s="79">
        <v>92</v>
      </c>
      <c r="C10" s="79">
        <v>1</v>
      </c>
      <c r="D10" s="79">
        <v>16</v>
      </c>
      <c r="E10" s="79">
        <v>2</v>
      </c>
      <c r="F10" s="79">
        <v>8425000</v>
      </c>
      <c r="G10" s="79">
        <v>155105226.19</v>
      </c>
      <c r="H10" s="79">
        <v>30000000</v>
      </c>
      <c r="I10" s="79">
        <v>69080527</v>
      </c>
      <c r="J10" s="79">
        <v>0</v>
      </c>
      <c r="K10" s="79">
        <v>2</v>
      </c>
      <c r="L10" s="79">
        <v>7</v>
      </c>
      <c r="M10" s="79">
        <v>1</v>
      </c>
    </row>
    <row r="11" spans="1:13">
      <c r="A11" s="78">
        <v>1088267234</v>
      </c>
      <c r="B11" s="79">
        <v>69</v>
      </c>
      <c r="C11" s="79">
        <v>3</v>
      </c>
      <c r="D11" s="79">
        <v>12</v>
      </c>
      <c r="E11" s="79">
        <v>7</v>
      </c>
      <c r="F11" s="79">
        <v>1970000</v>
      </c>
      <c r="G11" s="79">
        <v>80200000</v>
      </c>
      <c r="H11" s="79">
        <v>0</v>
      </c>
      <c r="I11" s="79">
        <v>140672641</v>
      </c>
      <c r="J11" s="79">
        <v>0</v>
      </c>
      <c r="K11" s="79">
        <v>3</v>
      </c>
      <c r="L11" s="79">
        <v>4</v>
      </c>
      <c r="M11" s="79">
        <v>3</v>
      </c>
    </row>
    <row r="12" spans="1:13">
      <c r="A12" s="78">
        <v>1030553203</v>
      </c>
      <c r="B12" s="79">
        <v>41</v>
      </c>
      <c r="C12" s="79">
        <v>1</v>
      </c>
      <c r="D12" s="79">
        <v>6</v>
      </c>
      <c r="E12" s="79">
        <v>3</v>
      </c>
      <c r="F12" s="79">
        <v>615000</v>
      </c>
      <c r="G12" s="79">
        <v>51770119</v>
      </c>
      <c r="H12" s="79">
        <v>0</v>
      </c>
      <c r="I12" s="79">
        <v>30344466</v>
      </c>
      <c r="J12" s="79">
        <v>0</v>
      </c>
      <c r="K12" s="79">
        <v>0</v>
      </c>
      <c r="L12" s="79">
        <v>3</v>
      </c>
      <c r="M12" s="79">
        <v>0</v>
      </c>
    </row>
    <row r="13" spans="1:13">
      <c r="A13" s="78">
        <v>1088288465</v>
      </c>
      <c r="B13" s="79">
        <v>40</v>
      </c>
      <c r="C13" s="79">
        <v>2</v>
      </c>
      <c r="D13" s="79">
        <v>16</v>
      </c>
      <c r="E13" s="79">
        <v>2</v>
      </c>
      <c r="F13" s="79">
        <v>8001014.666666666</v>
      </c>
      <c r="G13" s="79">
        <v>105600000</v>
      </c>
      <c r="H13" s="79">
        <v>0</v>
      </c>
      <c r="I13" s="79">
        <v>36451600</v>
      </c>
      <c r="J13" s="79">
        <v>0</v>
      </c>
      <c r="K13" s="79">
        <v>4</v>
      </c>
      <c r="L13" s="79">
        <v>10</v>
      </c>
      <c r="M13" s="79">
        <v>10</v>
      </c>
    </row>
    <row r="14" spans="1:13">
      <c r="A14" s="78">
        <v>1012357343</v>
      </c>
      <c r="B14" s="79">
        <v>90</v>
      </c>
      <c r="C14" s="79">
        <v>1</v>
      </c>
      <c r="D14" s="79">
        <v>13</v>
      </c>
      <c r="E14" s="79">
        <v>3</v>
      </c>
      <c r="F14" s="79">
        <v>7810000</v>
      </c>
      <c r="G14" s="79">
        <v>8500000</v>
      </c>
      <c r="H14" s="79">
        <v>4968688.2800000012</v>
      </c>
      <c r="I14" s="79">
        <v>15384775</v>
      </c>
      <c r="J14" s="79">
        <v>0</v>
      </c>
      <c r="K14" s="79">
        <v>1</v>
      </c>
      <c r="L14" s="79">
        <v>1</v>
      </c>
      <c r="M14" s="79">
        <v>2</v>
      </c>
    </row>
    <row r="15" spans="1:13">
      <c r="A15" s="78">
        <v>1090481863</v>
      </c>
      <c r="B15" s="79">
        <v>69</v>
      </c>
      <c r="C15" s="79">
        <v>3</v>
      </c>
      <c r="D15" s="79">
        <v>7</v>
      </c>
      <c r="E15" s="79">
        <v>2</v>
      </c>
      <c r="F15" s="79">
        <v>3690000</v>
      </c>
      <c r="G15" s="79">
        <v>90000000</v>
      </c>
      <c r="H15" s="79">
        <v>0</v>
      </c>
      <c r="I15" s="79">
        <v>33343246</v>
      </c>
      <c r="J15" s="79">
        <v>0</v>
      </c>
      <c r="K15" s="79">
        <v>0</v>
      </c>
      <c r="L15" s="79">
        <v>12</v>
      </c>
      <c r="M15" s="79">
        <v>4</v>
      </c>
    </row>
    <row r="16" spans="1:13">
      <c r="A16" s="78">
        <v>52911577</v>
      </c>
      <c r="B16" s="79">
        <v>45</v>
      </c>
      <c r="C16" s="79">
        <v>3</v>
      </c>
      <c r="D16" s="79">
        <v>13</v>
      </c>
      <c r="E16" s="79">
        <v>2</v>
      </c>
      <c r="F16" s="79">
        <v>2865416.666666667</v>
      </c>
      <c r="G16" s="79">
        <v>91000000</v>
      </c>
      <c r="H16" s="79">
        <v>7900000</v>
      </c>
      <c r="I16" s="79">
        <v>124983990</v>
      </c>
      <c r="J16" s="79">
        <v>0</v>
      </c>
      <c r="K16" s="79">
        <v>0</v>
      </c>
      <c r="L16" s="79">
        <v>7</v>
      </c>
      <c r="M16" s="79">
        <v>2</v>
      </c>
    </row>
    <row r="17" spans="1:13">
      <c r="A17" s="78">
        <v>1016047173</v>
      </c>
      <c r="B17" s="79">
        <v>55</v>
      </c>
      <c r="C17" s="79">
        <v>3</v>
      </c>
      <c r="D17" s="79">
        <v>10</v>
      </c>
      <c r="E17" s="79">
        <v>0</v>
      </c>
      <c r="F17" s="79">
        <v>0</v>
      </c>
      <c r="G17" s="79">
        <v>91000000</v>
      </c>
      <c r="H17" s="79">
        <v>0</v>
      </c>
      <c r="I17" s="79">
        <v>44399475</v>
      </c>
      <c r="J17" s="79">
        <v>0</v>
      </c>
      <c r="K17" s="79">
        <v>0</v>
      </c>
      <c r="L17" s="79">
        <v>4</v>
      </c>
      <c r="M17" s="79">
        <v>0</v>
      </c>
    </row>
    <row r="18" spans="1:13">
      <c r="A18" s="78">
        <v>86061163</v>
      </c>
      <c r="B18" s="79">
        <v>65</v>
      </c>
      <c r="C18" s="79">
        <v>3</v>
      </c>
      <c r="D18" s="79">
        <v>4</v>
      </c>
      <c r="E18" s="79">
        <v>6</v>
      </c>
      <c r="F18" s="79">
        <v>6275000</v>
      </c>
      <c r="G18" s="79">
        <v>56100000</v>
      </c>
      <c r="H18" s="79">
        <v>0</v>
      </c>
      <c r="I18" s="79">
        <v>72934137</v>
      </c>
      <c r="J18" s="79">
        <v>0</v>
      </c>
      <c r="K18" s="79">
        <v>5</v>
      </c>
      <c r="L18" s="79">
        <v>7</v>
      </c>
      <c r="M18" s="79">
        <v>6</v>
      </c>
    </row>
    <row r="19" spans="1:13">
      <c r="A19" s="78">
        <v>1014177866</v>
      </c>
      <c r="B19" s="79">
        <v>73</v>
      </c>
      <c r="C19" s="79">
        <v>2</v>
      </c>
      <c r="D19" s="79">
        <v>9</v>
      </c>
      <c r="E19" s="79">
        <v>4</v>
      </c>
      <c r="F19" s="79">
        <v>-1338560.5</v>
      </c>
      <c r="G19" s="79">
        <v>0</v>
      </c>
      <c r="H19" s="79">
        <v>42000000</v>
      </c>
      <c r="I19" s="79">
        <v>91291845</v>
      </c>
      <c r="J19" s="79">
        <v>0</v>
      </c>
      <c r="K19" s="79">
        <v>0</v>
      </c>
      <c r="L19" s="79">
        <v>4</v>
      </c>
      <c r="M19" s="79">
        <v>17</v>
      </c>
    </row>
    <row r="20" spans="1:13">
      <c r="A20" s="78">
        <v>1098784756</v>
      </c>
      <c r="B20" s="79">
        <v>109</v>
      </c>
      <c r="C20" s="79">
        <v>2</v>
      </c>
      <c r="D20" s="79">
        <v>11</v>
      </c>
      <c r="E20" s="79">
        <v>1</v>
      </c>
      <c r="F20" s="79">
        <v>2645000</v>
      </c>
      <c r="G20" s="79">
        <v>25000000</v>
      </c>
      <c r="H20" s="79">
        <v>6032766.7400000002</v>
      </c>
      <c r="I20" s="79">
        <v>56548786</v>
      </c>
      <c r="J20" s="79">
        <v>20000000</v>
      </c>
      <c r="K20" s="79">
        <v>2</v>
      </c>
      <c r="L20" s="79">
        <v>2</v>
      </c>
      <c r="M20" s="79">
        <v>4</v>
      </c>
    </row>
    <row r="21" spans="1:13">
      <c r="A21" s="78">
        <v>1013625614</v>
      </c>
      <c r="B21" s="79">
        <v>46</v>
      </c>
      <c r="C21" s="79">
        <v>3</v>
      </c>
      <c r="D21" s="79">
        <v>6</v>
      </c>
      <c r="E21" s="79">
        <v>1</v>
      </c>
      <c r="F21" s="79">
        <v>3320000</v>
      </c>
      <c r="G21" s="79">
        <v>7000000</v>
      </c>
      <c r="H21" s="79">
        <v>18000000</v>
      </c>
      <c r="I21" s="79">
        <v>14785775</v>
      </c>
      <c r="J21" s="79">
        <v>0</v>
      </c>
      <c r="K21" s="79">
        <v>1</v>
      </c>
      <c r="L21" s="79">
        <v>5</v>
      </c>
      <c r="M21" s="79">
        <v>4</v>
      </c>
    </row>
    <row r="22" spans="1:13">
      <c r="A22" s="78">
        <v>78031890</v>
      </c>
      <c r="B22" s="79">
        <v>60</v>
      </c>
      <c r="C22" s="79">
        <v>2</v>
      </c>
      <c r="D22" s="79">
        <v>3</v>
      </c>
      <c r="E22" s="79">
        <v>2</v>
      </c>
      <c r="F22" s="79">
        <v>7214834.166666667</v>
      </c>
      <c r="G22" s="79">
        <v>91200000</v>
      </c>
      <c r="H22" s="79">
        <v>0</v>
      </c>
      <c r="I22" s="79">
        <v>39819000</v>
      </c>
      <c r="J22" s="79">
        <v>0</v>
      </c>
      <c r="K22" s="79">
        <v>8</v>
      </c>
      <c r="L22" s="79">
        <v>7</v>
      </c>
      <c r="M22" s="79">
        <v>14</v>
      </c>
    </row>
    <row r="23" spans="1:13">
      <c r="A23" s="78">
        <v>80169986</v>
      </c>
      <c r="B23" s="79">
        <v>63</v>
      </c>
      <c r="C23" s="79">
        <v>4</v>
      </c>
      <c r="D23" s="79">
        <v>13</v>
      </c>
      <c r="E23" s="79">
        <v>6</v>
      </c>
      <c r="F23" s="79">
        <v>7248568.5</v>
      </c>
      <c r="G23" s="79">
        <v>62400000</v>
      </c>
      <c r="H23" s="79">
        <v>0</v>
      </c>
      <c r="I23" s="79">
        <v>113212900</v>
      </c>
      <c r="J23" s="79">
        <v>0</v>
      </c>
      <c r="K23" s="79">
        <v>6</v>
      </c>
      <c r="L23" s="79">
        <v>14</v>
      </c>
      <c r="M23" s="79">
        <v>6</v>
      </c>
    </row>
    <row r="24" spans="1:13">
      <c r="A24" s="78">
        <v>1073383917</v>
      </c>
      <c r="B24" s="79">
        <v>37</v>
      </c>
      <c r="C24" s="79">
        <v>1</v>
      </c>
      <c r="D24" s="79">
        <v>3</v>
      </c>
      <c r="E24" s="79">
        <v>2</v>
      </c>
      <c r="F24" s="79">
        <v>1230000</v>
      </c>
      <c r="G24" s="79">
        <v>10000000</v>
      </c>
      <c r="H24" s="79">
        <v>0</v>
      </c>
      <c r="I24" s="79">
        <v>22540000</v>
      </c>
      <c r="J24" s="79">
        <v>0</v>
      </c>
      <c r="K24" s="79">
        <v>1</v>
      </c>
      <c r="L24" s="79">
        <v>0</v>
      </c>
      <c r="M24" s="79">
        <v>0</v>
      </c>
    </row>
    <row r="25" spans="1:13">
      <c r="A25" s="78">
        <v>1128391746</v>
      </c>
      <c r="B25" s="79">
        <v>51</v>
      </c>
      <c r="C25" s="79">
        <v>1</v>
      </c>
      <c r="D25" s="79">
        <v>4</v>
      </c>
      <c r="E25" s="79">
        <v>4</v>
      </c>
      <c r="F25" s="79">
        <v>6090000</v>
      </c>
      <c r="G25" s="79">
        <v>82480000</v>
      </c>
      <c r="H25" s="79">
        <v>22500000</v>
      </c>
      <c r="I25" s="79">
        <v>61527000</v>
      </c>
      <c r="J25" s="79">
        <v>0</v>
      </c>
      <c r="K25" s="79">
        <v>8</v>
      </c>
      <c r="L25" s="79">
        <v>11</v>
      </c>
      <c r="M25" s="79">
        <v>8</v>
      </c>
    </row>
    <row r="26" spans="1:13">
      <c r="A26" s="78">
        <v>1088284278</v>
      </c>
      <c r="B26" s="79">
        <v>69</v>
      </c>
      <c r="C26" s="79">
        <v>5</v>
      </c>
      <c r="D26" s="79">
        <v>12</v>
      </c>
      <c r="E26" s="79">
        <v>10</v>
      </c>
      <c r="F26" s="79">
        <v>9693000</v>
      </c>
      <c r="G26" s="79">
        <v>161500000</v>
      </c>
      <c r="H26" s="79">
        <v>34000000</v>
      </c>
      <c r="I26" s="79">
        <v>136409648</v>
      </c>
      <c r="J26" s="79">
        <v>0</v>
      </c>
      <c r="K26" s="79">
        <v>7</v>
      </c>
      <c r="L26" s="79">
        <v>10</v>
      </c>
      <c r="M26" s="79">
        <v>9</v>
      </c>
    </row>
    <row r="27" spans="1:13">
      <c r="A27" s="78">
        <v>42140064</v>
      </c>
      <c r="B27" s="79">
        <v>79</v>
      </c>
      <c r="C27" s="79">
        <v>6</v>
      </c>
      <c r="D27" s="79">
        <v>10</v>
      </c>
      <c r="E27" s="79">
        <v>7</v>
      </c>
      <c r="F27" s="79">
        <v>9911666.666666666</v>
      </c>
      <c r="G27" s="79">
        <v>62800000.000000007</v>
      </c>
      <c r="H27" s="79">
        <v>11600000</v>
      </c>
      <c r="I27" s="79">
        <v>86206921</v>
      </c>
      <c r="J27" s="79">
        <v>0</v>
      </c>
      <c r="K27" s="79">
        <v>7</v>
      </c>
      <c r="L27" s="79">
        <v>13</v>
      </c>
      <c r="M27" s="79">
        <v>11</v>
      </c>
    </row>
    <row r="28" spans="1:13">
      <c r="A28" s="78">
        <v>1098657835</v>
      </c>
      <c r="B28" s="79">
        <v>76</v>
      </c>
      <c r="C28" s="79">
        <v>0</v>
      </c>
      <c r="D28" s="79">
        <v>11</v>
      </c>
      <c r="E28" s="79">
        <v>9</v>
      </c>
      <c r="F28" s="79">
        <v>1391472</v>
      </c>
      <c r="G28" s="79">
        <v>22300000</v>
      </c>
      <c r="H28" s="79">
        <v>5200000</v>
      </c>
      <c r="I28" s="79">
        <v>89759707</v>
      </c>
      <c r="J28" s="79">
        <v>0</v>
      </c>
      <c r="K28" s="79">
        <v>3</v>
      </c>
      <c r="L28" s="79">
        <v>6</v>
      </c>
      <c r="M28" s="79">
        <v>7</v>
      </c>
    </row>
    <row r="29" spans="1:13">
      <c r="A29" s="78">
        <v>39758972</v>
      </c>
      <c r="B29" s="79">
        <v>86</v>
      </c>
      <c r="C29" s="79">
        <v>3</v>
      </c>
      <c r="D29" s="79">
        <v>8</v>
      </c>
      <c r="E29" s="79">
        <v>5</v>
      </c>
      <c r="F29" s="79">
        <v>1430416.6666666667</v>
      </c>
      <c r="G29" s="79">
        <v>37300000</v>
      </c>
      <c r="H29" s="79">
        <v>35000000</v>
      </c>
      <c r="I29" s="79">
        <v>37903000</v>
      </c>
      <c r="J29" s="79">
        <v>0</v>
      </c>
      <c r="K29" s="79">
        <v>5</v>
      </c>
      <c r="L29" s="79">
        <v>18</v>
      </c>
      <c r="M29" s="79">
        <v>10</v>
      </c>
    </row>
    <row r="30" spans="1:13">
      <c r="A30" s="78">
        <v>1093223462</v>
      </c>
      <c r="B30" s="79">
        <v>84</v>
      </c>
      <c r="C30" s="79">
        <v>7</v>
      </c>
      <c r="D30" s="79">
        <v>13</v>
      </c>
      <c r="E30" s="79">
        <v>5</v>
      </c>
      <c r="F30" s="79">
        <v>7581250</v>
      </c>
      <c r="G30" s="79">
        <v>41200000</v>
      </c>
      <c r="H30" s="79">
        <v>21000000</v>
      </c>
      <c r="I30" s="79">
        <v>83879495</v>
      </c>
      <c r="J30" s="79">
        <v>0</v>
      </c>
      <c r="K30" s="79">
        <v>6</v>
      </c>
      <c r="L30" s="79">
        <v>15</v>
      </c>
      <c r="M30" s="79">
        <v>17</v>
      </c>
    </row>
    <row r="31" spans="1:13">
      <c r="A31" s="78">
        <v>1020756518</v>
      </c>
      <c r="B31" s="79">
        <v>34</v>
      </c>
      <c r="C31" s="79">
        <v>7</v>
      </c>
      <c r="D31" s="79">
        <v>10</v>
      </c>
      <c r="E31" s="79">
        <v>5</v>
      </c>
      <c r="F31" s="79">
        <v>370000</v>
      </c>
      <c r="G31" s="79">
        <v>34500000</v>
      </c>
      <c r="H31" s="79">
        <v>0</v>
      </c>
      <c r="I31" s="79">
        <v>58950850</v>
      </c>
      <c r="J31" s="79">
        <v>0</v>
      </c>
      <c r="K31" s="79">
        <v>2</v>
      </c>
      <c r="L31" s="79">
        <v>2</v>
      </c>
      <c r="M31" s="79">
        <v>6</v>
      </c>
    </row>
    <row r="32" spans="1:13">
      <c r="A32" s="78">
        <v>1090416967</v>
      </c>
      <c r="B32" s="79">
        <v>76</v>
      </c>
      <c r="C32" s="79">
        <v>1</v>
      </c>
      <c r="D32" s="79">
        <v>13</v>
      </c>
      <c r="E32" s="79">
        <v>1</v>
      </c>
      <c r="F32" s="79">
        <v>7136666.666666667</v>
      </c>
      <c r="G32" s="79">
        <v>79400000</v>
      </c>
      <c r="H32" s="79">
        <v>0</v>
      </c>
      <c r="I32" s="79">
        <v>33332367</v>
      </c>
      <c r="J32" s="79">
        <v>0</v>
      </c>
      <c r="K32" s="79">
        <v>2</v>
      </c>
      <c r="L32" s="79">
        <v>17</v>
      </c>
      <c r="M32" s="79">
        <v>16</v>
      </c>
    </row>
    <row r="33" spans="1:13">
      <c r="A33" s="78">
        <v>1012346611</v>
      </c>
      <c r="B33" s="79">
        <v>49</v>
      </c>
      <c r="C33" s="79">
        <v>10</v>
      </c>
      <c r="D33" s="79">
        <v>12</v>
      </c>
      <c r="E33" s="79">
        <v>2</v>
      </c>
      <c r="F33" s="79">
        <v>2460000</v>
      </c>
      <c r="G33" s="79">
        <v>20000000</v>
      </c>
      <c r="H33" s="79">
        <v>92000000</v>
      </c>
      <c r="I33" s="79">
        <v>9340000</v>
      </c>
      <c r="J33" s="79">
        <v>0</v>
      </c>
      <c r="K33" s="79">
        <v>2</v>
      </c>
      <c r="L33" s="79">
        <v>7</v>
      </c>
      <c r="M33" s="79">
        <v>4</v>
      </c>
    </row>
    <row r="34" spans="1:13">
      <c r="A34" s="78">
        <v>52458890</v>
      </c>
      <c r="B34" s="79">
        <v>99</v>
      </c>
      <c r="C34" s="79">
        <v>0</v>
      </c>
      <c r="D34" s="79">
        <v>13</v>
      </c>
      <c r="E34" s="79">
        <v>4</v>
      </c>
      <c r="F34" s="79">
        <v>8550000</v>
      </c>
      <c r="G34" s="79">
        <v>81700000</v>
      </c>
      <c r="H34" s="79">
        <v>0</v>
      </c>
      <c r="I34" s="79">
        <v>54215000</v>
      </c>
      <c r="J34" s="79">
        <v>0</v>
      </c>
      <c r="K34" s="79">
        <v>6</v>
      </c>
      <c r="L34" s="79">
        <v>7</v>
      </c>
      <c r="M34" s="79">
        <v>3</v>
      </c>
    </row>
    <row r="35" spans="1:13">
      <c r="A35" s="78">
        <v>73199300</v>
      </c>
      <c r="B35" s="79">
        <v>76</v>
      </c>
      <c r="C35" s="79">
        <v>2</v>
      </c>
      <c r="D35" s="79">
        <v>5</v>
      </c>
      <c r="E35" s="79">
        <v>0</v>
      </c>
      <c r="F35" s="79">
        <v>3924749.5</v>
      </c>
      <c r="G35" s="79">
        <v>35000000</v>
      </c>
      <c r="H35" s="79">
        <v>0</v>
      </c>
      <c r="I35" s="79">
        <v>20690084</v>
      </c>
      <c r="J35" s="79">
        <v>0</v>
      </c>
      <c r="K35" s="79">
        <v>2</v>
      </c>
      <c r="L35" s="79">
        <v>8</v>
      </c>
      <c r="M35" s="79">
        <v>24</v>
      </c>
    </row>
    <row r="36" spans="1:13">
      <c r="A36" s="78">
        <v>43996380</v>
      </c>
      <c r="B36" s="79">
        <v>69</v>
      </c>
      <c r="C36" s="79">
        <v>5</v>
      </c>
      <c r="D36" s="79">
        <v>13</v>
      </c>
      <c r="E36" s="79">
        <v>5</v>
      </c>
      <c r="F36" s="79">
        <v>7505000</v>
      </c>
      <c r="G36" s="79">
        <v>193385000</v>
      </c>
      <c r="H36" s="79">
        <v>0</v>
      </c>
      <c r="I36" s="79">
        <v>141795661</v>
      </c>
      <c r="J36" s="79">
        <v>0</v>
      </c>
      <c r="K36" s="79">
        <v>9</v>
      </c>
      <c r="L36" s="79">
        <v>12</v>
      </c>
      <c r="M36" s="79">
        <v>11</v>
      </c>
    </row>
    <row r="37" spans="1:13">
      <c r="A37" s="78">
        <v>40394022</v>
      </c>
      <c r="B37" s="79">
        <v>56</v>
      </c>
      <c r="C37" s="79">
        <v>1</v>
      </c>
      <c r="D37" s="79">
        <v>8</v>
      </c>
      <c r="E37" s="79">
        <v>2</v>
      </c>
      <c r="F37" s="79">
        <v>7380000</v>
      </c>
      <c r="G37" s="79">
        <v>138300000</v>
      </c>
      <c r="H37" s="79">
        <v>23000000</v>
      </c>
      <c r="I37" s="79">
        <v>26835381</v>
      </c>
      <c r="J37" s="79">
        <v>0</v>
      </c>
      <c r="K37" s="79">
        <v>9</v>
      </c>
      <c r="L37" s="79">
        <v>10</v>
      </c>
      <c r="M37" s="79">
        <v>10</v>
      </c>
    </row>
    <row r="38" spans="1:13">
      <c r="A38" s="78">
        <v>24552785</v>
      </c>
      <c r="B38" s="79">
        <v>80</v>
      </c>
      <c r="C38" s="79">
        <v>1</v>
      </c>
      <c r="D38" s="79">
        <v>4</v>
      </c>
      <c r="E38" s="79">
        <v>11</v>
      </c>
      <c r="F38" s="79">
        <v>3445000</v>
      </c>
      <c r="G38" s="79">
        <v>63000000</v>
      </c>
      <c r="H38" s="79">
        <v>0</v>
      </c>
      <c r="I38" s="79">
        <v>62179271</v>
      </c>
      <c r="J38" s="79">
        <v>0</v>
      </c>
      <c r="K38" s="79">
        <v>1</v>
      </c>
      <c r="L38" s="79">
        <v>8</v>
      </c>
      <c r="M38" s="79">
        <v>5</v>
      </c>
    </row>
    <row r="39" spans="1:13">
      <c r="A39" s="78">
        <v>1063146925</v>
      </c>
      <c r="B39" s="79">
        <v>65</v>
      </c>
      <c r="C39" s="79">
        <v>2</v>
      </c>
      <c r="D39" s="79">
        <v>12</v>
      </c>
      <c r="E39" s="79">
        <v>2</v>
      </c>
      <c r="F39" s="79">
        <v>9276250</v>
      </c>
      <c r="G39" s="79">
        <v>75400000</v>
      </c>
      <c r="H39" s="79">
        <v>14000000</v>
      </c>
      <c r="I39" s="79">
        <v>73657212</v>
      </c>
      <c r="J39" s="79">
        <v>0</v>
      </c>
      <c r="K39" s="79">
        <v>3</v>
      </c>
      <c r="L39" s="79">
        <v>3</v>
      </c>
      <c r="M39" s="79">
        <v>4</v>
      </c>
    </row>
    <row r="40" spans="1:13">
      <c r="A40" s="78">
        <v>1143835057</v>
      </c>
      <c r="B40" s="79">
        <v>87</v>
      </c>
      <c r="C40" s="79">
        <v>7</v>
      </c>
      <c r="D40" s="79">
        <v>12</v>
      </c>
      <c r="E40" s="79">
        <v>2</v>
      </c>
      <c r="F40" s="79">
        <v>10641539.166666666</v>
      </c>
      <c r="G40" s="79">
        <v>105765479.67</v>
      </c>
      <c r="H40" s="79">
        <v>47000000</v>
      </c>
      <c r="I40" s="79">
        <v>73418600</v>
      </c>
      <c r="J40" s="79">
        <v>0</v>
      </c>
      <c r="K40" s="79">
        <v>10</v>
      </c>
      <c r="L40" s="79">
        <v>14</v>
      </c>
      <c r="M40" s="79">
        <v>8</v>
      </c>
    </row>
    <row r="41" spans="1:13">
      <c r="A41" s="78">
        <v>1037599855</v>
      </c>
      <c r="B41" s="79">
        <v>41</v>
      </c>
      <c r="C41" s="79">
        <v>1</v>
      </c>
      <c r="D41" s="79">
        <v>1</v>
      </c>
      <c r="E41" s="79">
        <v>3</v>
      </c>
      <c r="F41" s="79">
        <v>5735416.666666667</v>
      </c>
      <c r="G41" s="79">
        <v>105765280.08</v>
      </c>
      <c r="H41" s="79">
        <v>0</v>
      </c>
      <c r="I41" s="79">
        <v>83624048</v>
      </c>
      <c r="J41" s="79">
        <v>0</v>
      </c>
      <c r="K41" s="79">
        <v>5</v>
      </c>
      <c r="L41" s="79">
        <v>12</v>
      </c>
      <c r="M41" s="79">
        <v>10</v>
      </c>
    </row>
    <row r="42" spans="1:13">
      <c r="A42" s="78">
        <v>1121860724</v>
      </c>
      <c r="B42" s="79">
        <v>37</v>
      </c>
      <c r="C42" s="79">
        <v>7</v>
      </c>
      <c r="D42" s="79">
        <v>12</v>
      </c>
      <c r="E42" s="79">
        <v>3</v>
      </c>
      <c r="F42" s="79">
        <v>4120000</v>
      </c>
      <c r="G42" s="79">
        <v>22230000</v>
      </c>
      <c r="H42" s="79">
        <v>5000000</v>
      </c>
      <c r="I42" s="79">
        <v>117961000</v>
      </c>
      <c r="J42" s="79">
        <v>0</v>
      </c>
      <c r="K42" s="79">
        <v>3</v>
      </c>
      <c r="L42" s="79">
        <v>7</v>
      </c>
      <c r="M42" s="79">
        <v>0</v>
      </c>
    </row>
    <row r="43" spans="1:13">
      <c r="A43" s="78">
        <v>1014186944</v>
      </c>
      <c r="B43" s="79">
        <v>94</v>
      </c>
      <c r="C43" s="79">
        <v>2</v>
      </c>
      <c r="D43" s="79">
        <v>3</v>
      </c>
      <c r="E43" s="79">
        <v>1</v>
      </c>
      <c r="F43" s="79">
        <v>5780000</v>
      </c>
      <c r="G43" s="79">
        <v>148300000</v>
      </c>
      <c r="H43" s="79">
        <v>75000000</v>
      </c>
      <c r="I43" s="79">
        <v>79790050</v>
      </c>
      <c r="J43" s="79">
        <v>0</v>
      </c>
      <c r="K43" s="79">
        <v>6</v>
      </c>
      <c r="L43" s="79">
        <v>3</v>
      </c>
      <c r="M43" s="79">
        <v>3</v>
      </c>
    </row>
    <row r="44" spans="1:13">
      <c r="A44" s="78">
        <v>1022390564</v>
      </c>
      <c r="B44" s="79">
        <v>37</v>
      </c>
      <c r="C44" s="79">
        <v>1</v>
      </c>
      <c r="D44" s="79">
        <v>12</v>
      </c>
      <c r="E44" s="79">
        <v>4</v>
      </c>
      <c r="F44" s="79">
        <v>5553000</v>
      </c>
      <c r="G44" s="79">
        <v>77800000</v>
      </c>
      <c r="H44" s="79">
        <v>56977639.469999999</v>
      </c>
      <c r="I44" s="79">
        <v>92376044</v>
      </c>
      <c r="J44" s="79">
        <v>0</v>
      </c>
      <c r="K44" s="79">
        <v>11</v>
      </c>
      <c r="L44" s="79">
        <v>17</v>
      </c>
      <c r="M44" s="79">
        <v>17</v>
      </c>
    </row>
    <row r="45" spans="1:13">
      <c r="A45" s="78">
        <v>53013251</v>
      </c>
      <c r="B45" s="79">
        <v>57</v>
      </c>
      <c r="C45" s="79">
        <v>1</v>
      </c>
      <c r="D45" s="79">
        <v>8</v>
      </c>
      <c r="E45" s="79">
        <v>4</v>
      </c>
      <c r="F45" s="79">
        <v>8050268.666666667</v>
      </c>
      <c r="G45" s="79">
        <v>54800000</v>
      </c>
      <c r="H45" s="79">
        <v>0</v>
      </c>
      <c r="I45" s="79">
        <v>142320000</v>
      </c>
      <c r="J45" s="79">
        <v>0</v>
      </c>
      <c r="K45" s="79">
        <v>9</v>
      </c>
      <c r="L45" s="79">
        <v>10</v>
      </c>
      <c r="M45" s="79">
        <v>11</v>
      </c>
    </row>
    <row r="46" spans="1:13">
      <c r="A46" s="78">
        <v>53071321</v>
      </c>
      <c r="B46" s="79">
        <v>78</v>
      </c>
      <c r="C46" s="79">
        <v>8</v>
      </c>
      <c r="D46" s="79">
        <v>15</v>
      </c>
      <c r="E46" s="79">
        <v>2</v>
      </c>
      <c r="F46" s="79">
        <v>8610000</v>
      </c>
      <c r="G46" s="79">
        <v>68000000</v>
      </c>
      <c r="H46" s="79">
        <v>0</v>
      </c>
      <c r="I46" s="79">
        <v>172125941</v>
      </c>
      <c r="J46" s="79">
        <v>0</v>
      </c>
      <c r="K46" s="79">
        <v>0</v>
      </c>
      <c r="L46" s="79">
        <v>0</v>
      </c>
      <c r="M46" s="79">
        <v>0</v>
      </c>
    </row>
    <row r="47" spans="1:13">
      <c r="A47" s="78">
        <v>1007438660</v>
      </c>
      <c r="B47" s="79">
        <v>60</v>
      </c>
      <c r="C47" s="79">
        <v>0</v>
      </c>
      <c r="D47" s="79">
        <v>10</v>
      </c>
      <c r="E47" s="79">
        <v>4</v>
      </c>
      <c r="F47" s="79">
        <v>7392798.333333333</v>
      </c>
      <c r="G47" s="79">
        <v>50100000</v>
      </c>
      <c r="H47" s="79">
        <v>0</v>
      </c>
      <c r="I47" s="79">
        <v>37178000</v>
      </c>
      <c r="J47" s="79">
        <v>0</v>
      </c>
      <c r="K47" s="79">
        <v>0</v>
      </c>
      <c r="L47" s="79">
        <v>10</v>
      </c>
      <c r="M47" s="79">
        <v>10</v>
      </c>
    </row>
    <row r="48" spans="1:13">
      <c r="A48" s="78">
        <v>22790319</v>
      </c>
      <c r="B48" s="79">
        <v>51</v>
      </c>
      <c r="C48" s="79">
        <v>1</v>
      </c>
      <c r="D48" s="79">
        <v>7</v>
      </c>
      <c r="E48" s="79">
        <v>0</v>
      </c>
      <c r="F48" s="79">
        <v>7195000</v>
      </c>
      <c r="G48" s="79">
        <v>69000000</v>
      </c>
      <c r="H48" s="79">
        <v>0</v>
      </c>
      <c r="I48" s="79">
        <v>39970725</v>
      </c>
      <c r="J48" s="79">
        <v>0</v>
      </c>
      <c r="K48" s="79">
        <v>2</v>
      </c>
      <c r="L48" s="79">
        <v>6</v>
      </c>
      <c r="M48" s="79">
        <v>2</v>
      </c>
    </row>
    <row r="49" spans="1:13">
      <c r="A49" s="78">
        <v>1037602972</v>
      </c>
      <c r="B49" s="79">
        <v>29</v>
      </c>
      <c r="C49" s="79">
        <v>0</v>
      </c>
      <c r="D49" s="79">
        <v>12</v>
      </c>
      <c r="E49" s="79">
        <v>5</v>
      </c>
      <c r="F49" s="79">
        <v>1894250</v>
      </c>
      <c r="G49" s="79">
        <v>81300000</v>
      </c>
      <c r="H49" s="79">
        <v>0</v>
      </c>
      <c r="I49" s="79">
        <v>186017067</v>
      </c>
      <c r="J49" s="79">
        <v>0</v>
      </c>
      <c r="K49" s="79">
        <v>2</v>
      </c>
      <c r="L49" s="79">
        <v>10</v>
      </c>
      <c r="M49" s="79">
        <v>8</v>
      </c>
    </row>
    <row r="50" spans="1:13">
      <c r="A50" s="78">
        <v>53001497</v>
      </c>
      <c r="B50" s="79">
        <v>34</v>
      </c>
      <c r="C50" s="79">
        <v>3</v>
      </c>
      <c r="D50" s="79">
        <v>12</v>
      </c>
      <c r="E50" s="79">
        <v>4</v>
      </c>
      <c r="F50" s="79">
        <v>3690000</v>
      </c>
      <c r="G50" s="79">
        <v>141800000</v>
      </c>
      <c r="H50" s="79">
        <v>25500000</v>
      </c>
      <c r="I50" s="79">
        <v>139733909</v>
      </c>
      <c r="J50" s="79">
        <v>0</v>
      </c>
      <c r="K50" s="79">
        <v>0</v>
      </c>
      <c r="L50" s="79">
        <v>10</v>
      </c>
      <c r="M50" s="79">
        <v>4</v>
      </c>
    </row>
    <row r="51" spans="1:13">
      <c r="A51" s="78">
        <v>1095942918</v>
      </c>
      <c r="B51" s="79">
        <v>100</v>
      </c>
      <c r="C51" s="79">
        <v>4</v>
      </c>
      <c r="D51" s="79">
        <v>9</v>
      </c>
      <c r="E51" s="79">
        <v>1</v>
      </c>
      <c r="F51" s="79">
        <v>0</v>
      </c>
      <c r="G51" s="79">
        <v>25400000</v>
      </c>
      <c r="H51" s="79">
        <v>23000000</v>
      </c>
      <c r="I51" s="79">
        <v>33038491</v>
      </c>
      <c r="J51" s="79">
        <v>0</v>
      </c>
      <c r="K51" s="79">
        <v>1</v>
      </c>
      <c r="L51" s="79">
        <v>4</v>
      </c>
      <c r="M51" s="79">
        <v>1</v>
      </c>
    </row>
    <row r="52" spans="1:13">
      <c r="A52" s="78">
        <v>1032445027</v>
      </c>
      <c r="B52" s="79">
        <v>74</v>
      </c>
      <c r="C52" s="79">
        <v>3</v>
      </c>
      <c r="D52" s="79">
        <v>12</v>
      </c>
      <c r="E52" s="79">
        <v>0</v>
      </c>
      <c r="F52" s="79">
        <v>4305000</v>
      </c>
      <c r="G52" s="79">
        <v>31700000</v>
      </c>
      <c r="H52" s="79">
        <v>20000000</v>
      </c>
      <c r="I52" s="79">
        <v>83600915</v>
      </c>
      <c r="J52" s="79">
        <v>0</v>
      </c>
      <c r="K52" s="79">
        <v>2</v>
      </c>
      <c r="L52" s="79">
        <v>5</v>
      </c>
      <c r="M52" s="79">
        <v>1</v>
      </c>
    </row>
    <row r="53" spans="1:13">
      <c r="A53" s="78">
        <v>1143122100</v>
      </c>
      <c r="B53" s="79">
        <v>42</v>
      </c>
      <c r="C53" s="79">
        <v>1</v>
      </c>
      <c r="D53" s="79">
        <v>15</v>
      </c>
      <c r="E53" s="79">
        <v>1</v>
      </c>
      <c r="F53" s="79">
        <v>6420442</v>
      </c>
      <c r="G53" s="79">
        <v>82100000</v>
      </c>
      <c r="H53" s="79">
        <v>0</v>
      </c>
      <c r="I53" s="79">
        <v>66355416</v>
      </c>
      <c r="J53" s="79">
        <v>0</v>
      </c>
      <c r="K53" s="79">
        <v>0</v>
      </c>
      <c r="L53" s="79">
        <v>10</v>
      </c>
      <c r="M53" s="79">
        <v>4</v>
      </c>
    </row>
    <row r="54" spans="1:13">
      <c r="A54" s="78">
        <v>1022976107</v>
      </c>
      <c r="B54" s="79">
        <v>41</v>
      </c>
      <c r="C54" s="79">
        <v>2</v>
      </c>
      <c r="D54" s="79">
        <v>6</v>
      </c>
      <c r="E54" s="79">
        <v>5</v>
      </c>
      <c r="F54" s="79">
        <v>5720000</v>
      </c>
      <c r="G54" s="79">
        <v>20000000</v>
      </c>
      <c r="H54" s="79">
        <v>0</v>
      </c>
      <c r="I54" s="79">
        <v>36430000</v>
      </c>
      <c r="J54" s="79">
        <v>0</v>
      </c>
      <c r="K54" s="79">
        <v>8</v>
      </c>
      <c r="L54" s="79">
        <v>2</v>
      </c>
      <c r="M54" s="79">
        <v>0</v>
      </c>
    </row>
    <row r="55" spans="1:13">
      <c r="A55" s="78">
        <v>1036610700</v>
      </c>
      <c r="B55" s="79">
        <v>78</v>
      </c>
      <c r="C55" s="79">
        <v>4</v>
      </c>
      <c r="D55" s="79">
        <v>7</v>
      </c>
      <c r="E55" s="79">
        <v>0</v>
      </c>
      <c r="F55" s="79">
        <v>1845000</v>
      </c>
      <c r="G55" s="79">
        <v>28800000</v>
      </c>
      <c r="H55" s="79">
        <v>0</v>
      </c>
      <c r="I55" s="79">
        <v>71570812</v>
      </c>
      <c r="J55" s="79">
        <v>0</v>
      </c>
      <c r="K55" s="79">
        <v>1</v>
      </c>
      <c r="L55" s="79">
        <v>1</v>
      </c>
      <c r="M55" s="79">
        <v>6</v>
      </c>
    </row>
    <row r="56" spans="1:13">
      <c r="A56" s="78">
        <v>40411747</v>
      </c>
      <c r="B56" s="79">
        <v>56</v>
      </c>
      <c r="C56" s="79">
        <v>1</v>
      </c>
      <c r="D56" s="79">
        <v>6</v>
      </c>
      <c r="E56" s="79">
        <v>3</v>
      </c>
      <c r="F56" s="79">
        <v>9040000</v>
      </c>
      <c r="G56" s="79">
        <v>138000000</v>
      </c>
      <c r="H56" s="79">
        <v>15800000</v>
      </c>
      <c r="I56" s="79">
        <v>90856000</v>
      </c>
      <c r="J56" s="79">
        <v>0</v>
      </c>
      <c r="K56" s="79">
        <v>7</v>
      </c>
      <c r="L56" s="79">
        <v>8</v>
      </c>
      <c r="M56" s="79">
        <v>7</v>
      </c>
    </row>
    <row r="57" spans="1:13">
      <c r="A57" s="78">
        <v>1112762663</v>
      </c>
      <c r="B57" s="79">
        <v>25</v>
      </c>
      <c r="C57" s="79">
        <v>2</v>
      </c>
      <c r="D57" s="79">
        <v>5</v>
      </c>
      <c r="E57" s="79">
        <v>2</v>
      </c>
      <c r="F57" s="79">
        <v>3146666.6666666665</v>
      </c>
      <c r="G57" s="79">
        <v>56000000</v>
      </c>
      <c r="H57" s="79">
        <v>49860105.119999997</v>
      </c>
      <c r="I57" s="79">
        <v>7410000</v>
      </c>
      <c r="J57" s="79">
        <v>0</v>
      </c>
      <c r="K57" s="79">
        <v>2</v>
      </c>
      <c r="L57" s="79">
        <v>2</v>
      </c>
      <c r="M57" s="79">
        <v>2</v>
      </c>
    </row>
    <row r="58" spans="1:13">
      <c r="A58" s="78">
        <v>1018494555</v>
      </c>
      <c r="B58" s="79">
        <v>45</v>
      </c>
      <c r="C58" s="79">
        <v>7</v>
      </c>
      <c r="D58" s="79">
        <v>12</v>
      </c>
      <c r="E58" s="79">
        <v>2</v>
      </c>
      <c r="F58" s="79">
        <v>-966666.66666666674</v>
      </c>
      <c r="G58" s="79">
        <v>28400000</v>
      </c>
      <c r="H58" s="79">
        <v>64462051.439999998</v>
      </c>
      <c r="I58" s="79">
        <v>85011935</v>
      </c>
      <c r="J58" s="79">
        <v>0</v>
      </c>
      <c r="K58" s="79">
        <v>1</v>
      </c>
      <c r="L58" s="79">
        <v>6</v>
      </c>
      <c r="M58" s="79">
        <v>2</v>
      </c>
    </row>
    <row r="59" spans="1:13">
      <c r="A59" s="78">
        <v>1090377515</v>
      </c>
      <c r="B59" s="79">
        <v>43</v>
      </c>
      <c r="C59" s="79">
        <v>1</v>
      </c>
      <c r="D59" s="79">
        <v>5</v>
      </c>
      <c r="E59" s="79">
        <v>1</v>
      </c>
      <c r="F59" s="79">
        <v>4920000</v>
      </c>
      <c r="G59" s="79">
        <v>40000000</v>
      </c>
      <c r="H59" s="79">
        <v>0</v>
      </c>
      <c r="I59" s="79">
        <v>13632218</v>
      </c>
      <c r="J59" s="79">
        <v>0</v>
      </c>
      <c r="K59" s="79">
        <v>2</v>
      </c>
      <c r="L59" s="79">
        <v>6</v>
      </c>
      <c r="M59" s="79">
        <v>6</v>
      </c>
    </row>
    <row r="60" spans="1:13">
      <c r="A60" s="78">
        <v>1097406024</v>
      </c>
      <c r="B60" s="79">
        <v>78</v>
      </c>
      <c r="C60" s="79">
        <v>3</v>
      </c>
      <c r="D60" s="79">
        <v>12</v>
      </c>
      <c r="E60" s="79">
        <v>3</v>
      </c>
      <c r="F60" s="79">
        <v>11070000</v>
      </c>
      <c r="G60" s="79">
        <v>204047592.69999999</v>
      </c>
      <c r="H60" s="79">
        <v>20500000</v>
      </c>
      <c r="I60" s="79">
        <v>33120282</v>
      </c>
      <c r="J60" s="79">
        <v>0</v>
      </c>
      <c r="K60" s="79">
        <v>9</v>
      </c>
      <c r="L60" s="79">
        <v>9</v>
      </c>
      <c r="M60" s="79">
        <v>11</v>
      </c>
    </row>
    <row r="61" spans="1:13">
      <c r="A61" s="78">
        <v>1026259310</v>
      </c>
      <c r="B61" s="79">
        <v>61</v>
      </c>
      <c r="C61" s="79">
        <v>2</v>
      </c>
      <c r="D61" s="79">
        <v>3</v>
      </c>
      <c r="E61" s="79">
        <v>15</v>
      </c>
      <c r="F61" s="79">
        <v>1969013.5</v>
      </c>
      <c r="G61" s="79">
        <v>31000000</v>
      </c>
      <c r="H61" s="79">
        <v>33500000</v>
      </c>
      <c r="I61" s="79">
        <v>33174162</v>
      </c>
      <c r="J61" s="79">
        <v>0</v>
      </c>
      <c r="K61" s="79">
        <v>5</v>
      </c>
      <c r="L61" s="79">
        <v>8</v>
      </c>
      <c r="M61" s="79">
        <v>8</v>
      </c>
    </row>
    <row r="62" spans="1:13">
      <c r="A62" s="78">
        <v>1045701669</v>
      </c>
      <c r="B62" s="79">
        <v>53</v>
      </c>
      <c r="C62" s="79">
        <v>1</v>
      </c>
      <c r="D62" s="79">
        <v>9</v>
      </c>
      <c r="E62" s="79">
        <v>4</v>
      </c>
      <c r="F62" s="79">
        <v>7195000</v>
      </c>
      <c r="G62" s="79">
        <v>123000000</v>
      </c>
      <c r="H62" s="79">
        <v>0</v>
      </c>
      <c r="I62" s="79">
        <v>80001292</v>
      </c>
      <c r="J62" s="79">
        <v>0</v>
      </c>
      <c r="K62" s="79">
        <v>9</v>
      </c>
      <c r="L62" s="79">
        <v>8</v>
      </c>
      <c r="M62" s="79">
        <v>10</v>
      </c>
    </row>
    <row r="63" spans="1:13">
      <c r="A63" s="78">
        <v>80014264</v>
      </c>
      <c r="B63" s="79">
        <v>64</v>
      </c>
      <c r="C63" s="79">
        <v>2</v>
      </c>
      <c r="D63" s="79">
        <v>9</v>
      </c>
      <c r="E63" s="79">
        <v>0</v>
      </c>
      <c r="F63" s="79">
        <v>3690000</v>
      </c>
      <c r="G63" s="79">
        <v>104890131</v>
      </c>
      <c r="H63" s="79">
        <v>0</v>
      </c>
      <c r="I63" s="79">
        <v>13595463</v>
      </c>
      <c r="J63" s="79">
        <v>0</v>
      </c>
      <c r="K63" s="79">
        <v>0</v>
      </c>
      <c r="L63" s="79">
        <v>0</v>
      </c>
      <c r="M63" s="79">
        <v>3</v>
      </c>
    </row>
    <row r="64" spans="1:13">
      <c r="A64" s="78">
        <v>1019079546</v>
      </c>
      <c r="B64" s="79">
        <v>55</v>
      </c>
      <c r="C64" s="79">
        <v>2</v>
      </c>
      <c r="D64" s="79">
        <v>15</v>
      </c>
      <c r="E64" s="79">
        <v>4</v>
      </c>
      <c r="F64" s="79">
        <v>7310564.25</v>
      </c>
      <c r="G64" s="79">
        <v>60632000</v>
      </c>
      <c r="H64" s="79">
        <v>27825190.449999999</v>
      </c>
      <c r="I64" s="79">
        <v>113501655</v>
      </c>
      <c r="J64" s="79">
        <v>0</v>
      </c>
      <c r="K64" s="79">
        <v>1</v>
      </c>
      <c r="L64" s="79">
        <v>6</v>
      </c>
      <c r="M64" s="79">
        <v>3</v>
      </c>
    </row>
    <row r="65" spans="1:13">
      <c r="A65" s="78">
        <v>1093760054</v>
      </c>
      <c r="B65" s="79">
        <v>46</v>
      </c>
      <c r="C65" s="79">
        <v>4</v>
      </c>
      <c r="D65" s="79">
        <v>20</v>
      </c>
      <c r="E65" s="79">
        <v>3</v>
      </c>
      <c r="F65" s="79">
        <v>7320000</v>
      </c>
      <c r="G65" s="79">
        <v>84200000</v>
      </c>
      <c r="H65" s="79">
        <v>0</v>
      </c>
      <c r="I65" s="79">
        <v>116588537</v>
      </c>
      <c r="J65" s="79">
        <v>0</v>
      </c>
      <c r="K65" s="79">
        <v>3</v>
      </c>
      <c r="L65" s="79">
        <v>39</v>
      </c>
      <c r="M65" s="79">
        <v>14</v>
      </c>
    </row>
    <row r="66" spans="1:13">
      <c r="A66" s="78">
        <v>1140861189</v>
      </c>
      <c r="B66" s="79">
        <v>44</v>
      </c>
      <c r="C66" s="79">
        <v>6</v>
      </c>
      <c r="D66" s="79">
        <v>8</v>
      </c>
      <c r="E66" s="79">
        <v>0</v>
      </c>
      <c r="F66" s="79">
        <v>4080000</v>
      </c>
      <c r="G66" s="79">
        <v>37000000</v>
      </c>
      <c r="H66" s="79">
        <v>21800000</v>
      </c>
      <c r="I66" s="79">
        <v>52497728</v>
      </c>
      <c r="J66" s="79">
        <v>0</v>
      </c>
      <c r="K66" s="79">
        <v>5</v>
      </c>
      <c r="L66" s="79">
        <v>9</v>
      </c>
      <c r="M66" s="79">
        <v>13</v>
      </c>
    </row>
    <row r="67" spans="1:13">
      <c r="A67" s="78">
        <v>80001235</v>
      </c>
      <c r="B67" s="79">
        <v>75</v>
      </c>
      <c r="C67" s="79">
        <v>8</v>
      </c>
      <c r="D67" s="79">
        <v>12</v>
      </c>
      <c r="E67" s="79">
        <v>3</v>
      </c>
      <c r="F67" s="79">
        <v>2645000</v>
      </c>
      <c r="G67" s="79">
        <v>56200000</v>
      </c>
      <c r="H67" s="79">
        <v>85000000</v>
      </c>
      <c r="I67" s="79">
        <v>26923831</v>
      </c>
      <c r="J67" s="79">
        <v>0</v>
      </c>
      <c r="K67" s="79">
        <v>3</v>
      </c>
      <c r="L67" s="79">
        <v>9</v>
      </c>
      <c r="M67" s="79">
        <v>5</v>
      </c>
    </row>
    <row r="68" spans="1:13">
      <c r="A68" s="78">
        <v>1105786644</v>
      </c>
      <c r="B68" s="79">
        <v>51</v>
      </c>
      <c r="C68" s="79">
        <v>3</v>
      </c>
      <c r="D68" s="79">
        <v>14</v>
      </c>
      <c r="E68" s="79">
        <v>3</v>
      </c>
      <c r="F68" s="79">
        <v>2337500</v>
      </c>
      <c r="G68" s="79">
        <v>168800000</v>
      </c>
      <c r="H68" s="79">
        <v>0</v>
      </c>
      <c r="I68" s="79">
        <v>78198126</v>
      </c>
      <c r="J68" s="79">
        <v>0</v>
      </c>
      <c r="K68" s="79">
        <v>0</v>
      </c>
      <c r="L68" s="79">
        <v>13</v>
      </c>
      <c r="M68" s="79">
        <v>12</v>
      </c>
    </row>
    <row r="69" spans="1:13">
      <c r="A69" s="78">
        <v>53070485</v>
      </c>
      <c r="B69" s="79">
        <v>35</v>
      </c>
      <c r="C69" s="79">
        <v>0</v>
      </c>
      <c r="D69" s="79">
        <v>19</v>
      </c>
      <c r="E69" s="79">
        <v>1</v>
      </c>
      <c r="F69" s="79">
        <v>14049780.166666666</v>
      </c>
      <c r="G69" s="79">
        <v>125444654.45</v>
      </c>
      <c r="H69" s="79">
        <v>35603399.969999999</v>
      </c>
      <c r="I69" s="79">
        <v>30660849</v>
      </c>
      <c r="J69" s="79">
        <v>0</v>
      </c>
      <c r="K69" s="79">
        <v>12</v>
      </c>
      <c r="L69" s="79">
        <v>20</v>
      </c>
      <c r="M69" s="79">
        <v>17</v>
      </c>
    </row>
    <row r="70" spans="1:13">
      <c r="A70" s="78">
        <v>1090469124</v>
      </c>
      <c r="B70" s="79">
        <v>70</v>
      </c>
      <c r="C70" s="79">
        <v>1</v>
      </c>
      <c r="D70" s="79">
        <v>12</v>
      </c>
      <c r="E70" s="79">
        <v>0</v>
      </c>
      <c r="F70" s="79">
        <v>1537500</v>
      </c>
      <c r="G70" s="79">
        <v>55495538</v>
      </c>
      <c r="H70" s="79">
        <v>11091477.550000001</v>
      </c>
      <c r="I70" s="79">
        <v>36672937</v>
      </c>
      <c r="J70" s="79">
        <v>0</v>
      </c>
      <c r="K70" s="79">
        <v>15</v>
      </c>
      <c r="L70" s="79">
        <v>21</v>
      </c>
      <c r="M70" s="79">
        <v>25</v>
      </c>
    </row>
    <row r="71" spans="1:13">
      <c r="A71" s="78">
        <v>1075677501</v>
      </c>
      <c r="B71" s="79">
        <v>108</v>
      </c>
      <c r="C71" s="79">
        <v>5</v>
      </c>
      <c r="D71" s="79">
        <v>9</v>
      </c>
      <c r="E71" s="79">
        <v>3</v>
      </c>
      <c r="F71" s="79">
        <v>2645000</v>
      </c>
      <c r="G71" s="79">
        <v>133662250</v>
      </c>
      <c r="H71" s="79">
        <v>18615612.460000001</v>
      </c>
      <c r="I71" s="79">
        <v>115679948</v>
      </c>
      <c r="J71" s="79">
        <v>0</v>
      </c>
      <c r="K71" s="79">
        <v>2</v>
      </c>
      <c r="L71" s="79">
        <v>1</v>
      </c>
      <c r="M71" s="79">
        <v>2</v>
      </c>
    </row>
    <row r="72" spans="1:13">
      <c r="A72" s="78">
        <v>51968566</v>
      </c>
      <c r="B72" s="79">
        <v>60</v>
      </c>
      <c r="C72" s="79">
        <v>9</v>
      </c>
      <c r="D72" s="79">
        <v>14</v>
      </c>
      <c r="E72" s="79">
        <v>12</v>
      </c>
      <c r="F72" s="79">
        <v>7682269.166666667</v>
      </c>
      <c r="G72" s="79">
        <v>100100000</v>
      </c>
      <c r="H72" s="79">
        <v>90000000</v>
      </c>
      <c r="I72" s="79">
        <v>158088000</v>
      </c>
      <c r="J72" s="79">
        <v>0</v>
      </c>
      <c r="K72" s="79">
        <v>4</v>
      </c>
      <c r="L72" s="79">
        <v>5</v>
      </c>
      <c r="M72" s="79">
        <v>3</v>
      </c>
    </row>
    <row r="73" spans="1:13">
      <c r="A73" s="78">
        <v>1144139793</v>
      </c>
      <c r="B73" s="79">
        <v>48</v>
      </c>
      <c r="C73" s="79">
        <v>0</v>
      </c>
      <c r="D73" s="79">
        <v>13</v>
      </c>
      <c r="E73" s="79">
        <v>0</v>
      </c>
      <c r="F73" s="79">
        <v>3075000</v>
      </c>
      <c r="G73" s="79">
        <v>26700000</v>
      </c>
      <c r="H73" s="79">
        <v>0</v>
      </c>
      <c r="I73" s="79">
        <v>37095376</v>
      </c>
      <c r="J73" s="79">
        <v>0</v>
      </c>
      <c r="K73" s="79">
        <v>3</v>
      </c>
      <c r="L73" s="79">
        <v>4</v>
      </c>
      <c r="M73" s="79">
        <v>7</v>
      </c>
    </row>
    <row r="74" spans="1:13">
      <c r="A74" s="78">
        <v>52371021</v>
      </c>
      <c r="B74" s="79">
        <v>41</v>
      </c>
      <c r="C74" s="79">
        <v>4</v>
      </c>
      <c r="D74" s="79">
        <v>11</v>
      </c>
      <c r="E74" s="79">
        <v>3</v>
      </c>
      <c r="F74" s="79">
        <v>4120000</v>
      </c>
      <c r="G74" s="79">
        <v>15588102.07</v>
      </c>
      <c r="H74" s="79">
        <v>32000000</v>
      </c>
      <c r="I74" s="79">
        <v>73942500</v>
      </c>
      <c r="J74" s="79">
        <v>0</v>
      </c>
      <c r="K74" s="79">
        <v>1</v>
      </c>
      <c r="L74" s="79">
        <v>0</v>
      </c>
      <c r="M74" s="79">
        <v>0</v>
      </c>
    </row>
    <row r="75" spans="1:13">
      <c r="A75" s="78">
        <v>65785486</v>
      </c>
      <c r="B75" s="79">
        <v>89</v>
      </c>
      <c r="C75" s="79">
        <v>6</v>
      </c>
      <c r="D75" s="79">
        <v>12</v>
      </c>
      <c r="E75" s="79">
        <v>0</v>
      </c>
      <c r="F75" s="79">
        <v>5045000</v>
      </c>
      <c r="G75" s="79">
        <v>63500000</v>
      </c>
      <c r="H75" s="79">
        <v>105700000</v>
      </c>
      <c r="I75" s="79">
        <v>47663000</v>
      </c>
      <c r="J75" s="79">
        <v>0</v>
      </c>
      <c r="K75" s="79">
        <v>4</v>
      </c>
      <c r="L75" s="79">
        <v>9</v>
      </c>
      <c r="M75" s="79">
        <v>7</v>
      </c>
    </row>
    <row r="76" spans="1:13">
      <c r="A76" s="78">
        <v>1128430053</v>
      </c>
      <c r="B76" s="79">
        <v>14</v>
      </c>
      <c r="C76" s="79">
        <v>1</v>
      </c>
      <c r="D76" s="79">
        <v>0</v>
      </c>
      <c r="E76" s="79">
        <v>0</v>
      </c>
      <c r="F76" s="79">
        <v>0</v>
      </c>
      <c r="G76" s="79">
        <v>0</v>
      </c>
      <c r="H76" s="79">
        <v>0</v>
      </c>
      <c r="I76" s="79">
        <v>11515350</v>
      </c>
      <c r="J76" s="79">
        <v>0</v>
      </c>
      <c r="K76" s="79">
        <v>2</v>
      </c>
      <c r="L76" s="79">
        <v>2</v>
      </c>
      <c r="M76" s="79">
        <v>5</v>
      </c>
    </row>
    <row r="77" spans="1:13">
      <c r="A77" s="78">
        <v>37900818</v>
      </c>
      <c r="B77" s="79">
        <v>62</v>
      </c>
      <c r="C77" s="79">
        <v>4</v>
      </c>
      <c r="D77" s="79">
        <v>7</v>
      </c>
      <c r="E77" s="79">
        <v>0</v>
      </c>
      <c r="F77" s="79">
        <v>2030000</v>
      </c>
      <c r="G77" s="79">
        <v>10000000</v>
      </c>
      <c r="H77" s="79">
        <v>0</v>
      </c>
      <c r="I77" s="79">
        <v>41673077</v>
      </c>
      <c r="J77" s="79">
        <v>0</v>
      </c>
      <c r="K77" s="79">
        <v>4</v>
      </c>
      <c r="L77" s="79">
        <v>2</v>
      </c>
      <c r="M77" s="79">
        <v>5</v>
      </c>
    </row>
    <row r="78" spans="1:13">
      <c r="A78" s="78">
        <v>1014269744</v>
      </c>
      <c r="B78" s="79">
        <v>42</v>
      </c>
      <c r="C78" s="79">
        <v>0</v>
      </c>
      <c r="D78" s="79">
        <v>5</v>
      </c>
      <c r="E78" s="79">
        <v>3</v>
      </c>
      <c r="F78" s="79">
        <v>1660000</v>
      </c>
      <c r="G78" s="79">
        <v>31000000</v>
      </c>
      <c r="H78" s="79">
        <v>0</v>
      </c>
      <c r="I78" s="79">
        <v>19252000</v>
      </c>
      <c r="J78" s="79">
        <v>0</v>
      </c>
      <c r="K78" s="79">
        <v>0</v>
      </c>
      <c r="L78" s="79">
        <v>1</v>
      </c>
      <c r="M78" s="79">
        <v>2</v>
      </c>
    </row>
    <row r="79" spans="1:13">
      <c r="A79" s="78">
        <v>1067877021</v>
      </c>
      <c r="B79" s="79">
        <v>65</v>
      </c>
      <c r="C79" s="79">
        <v>0</v>
      </c>
      <c r="D79" s="79">
        <v>1</v>
      </c>
      <c r="E79" s="79">
        <v>2</v>
      </c>
      <c r="F79" s="79">
        <v>1045000</v>
      </c>
      <c r="G79" s="79">
        <v>16000000</v>
      </c>
      <c r="H79" s="79">
        <v>0</v>
      </c>
      <c r="I79" s="79">
        <v>31179826</v>
      </c>
      <c r="J79" s="79">
        <v>0</v>
      </c>
      <c r="K79" s="79">
        <v>2</v>
      </c>
      <c r="L79" s="79">
        <v>2</v>
      </c>
      <c r="M79" s="79">
        <v>6</v>
      </c>
    </row>
    <row r="80" spans="1:13">
      <c r="A80" s="78">
        <v>1031123630</v>
      </c>
      <c r="B80" s="79">
        <v>43</v>
      </c>
      <c r="C80" s="79">
        <v>1</v>
      </c>
      <c r="D80" s="79">
        <v>6</v>
      </c>
      <c r="E80" s="79">
        <v>3</v>
      </c>
      <c r="F80" s="79">
        <v>4550000</v>
      </c>
      <c r="G80" s="79">
        <v>81000000</v>
      </c>
      <c r="H80" s="79">
        <v>30200000</v>
      </c>
      <c r="I80" s="79">
        <v>22396000</v>
      </c>
      <c r="J80" s="79">
        <v>0</v>
      </c>
      <c r="K80" s="79">
        <v>1</v>
      </c>
      <c r="L80" s="79">
        <v>3</v>
      </c>
      <c r="M80" s="79">
        <v>2</v>
      </c>
    </row>
    <row r="81" spans="1:13">
      <c r="A81" s="78">
        <v>1032445748</v>
      </c>
      <c r="B81" s="79">
        <v>67</v>
      </c>
      <c r="C81" s="79">
        <v>3</v>
      </c>
      <c r="D81" s="79">
        <v>8</v>
      </c>
      <c r="E81" s="79">
        <v>1</v>
      </c>
      <c r="F81" s="79">
        <v>1230000</v>
      </c>
      <c r="G81" s="79">
        <v>21230000</v>
      </c>
      <c r="H81" s="79">
        <v>0</v>
      </c>
      <c r="I81" s="79">
        <v>14400000</v>
      </c>
      <c r="J81" s="79">
        <v>0</v>
      </c>
      <c r="K81" s="79">
        <v>6</v>
      </c>
      <c r="L81" s="79">
        <v>4</v>
      </c>
      <c r="M81" s="79">
        <v>0</v>
      </c>
    </row>
    <row r="82" spans="1:13">
      <c r="A82" s="78">
        <v>1017155100</v>
      </c>
      <c r="B82" s="79">
        <v>62</v>
      </c>
      <c r="C82" s="79">
        <v>3</v>
      </c>
      <c r="D82" s="79">
        <v>7</v>
      </c>
      <c r="E82" s="79">
        <v>2</v>
      </c>
      <c r="F82" s="79">
        <v>5023816.75</v>
      </c>
      <c r="G82" s="79">
        <v>21000000</v>
      </c>
      <c r="H82" s="79">
        <v>0</v>
      </c>
      <c r="I82" s="79">
        <v>45722716</v>
      </c>
      <c r="J82" s="79">
        <v>0</v>
      </c>
      <c r="K82" s="79">
        <v>8</v>
      </c>
      <c r="L82" s="79">
        <v>11</v>
      </c>
      <c r="M82" s="79">
        <v>12</v>
      </c>
    </row>
    <row r="83" spans="1:13">
      <c r="A83" s="78">
        <v>1036628798</v>
      </c>
      <c r="B83" s="79">
        <v>49</v>
      </c>
      <c r="C83" s="79">
        <v>0</v>
      </c>
      <c r="D83" s="79">
        <v>13</v>
      </c>
      <c r="E83" s="79">
        <v>8</v>
      </c>
      <c r="F83" s="79">
        <v>11070000</v>
      </c>
      <c r="G83" s="79">
        <v>123600000</v>
      </c>
      <c r="H83" s="79">
        <v>59000000</v>
      </c>
      <c r="I83" s="79">
        <v>139782000</v>
      </c>
      <c r="J83" s="79">
        <v>0</v>
      </c>
      <c r="K83" s="79">
        <v>11</v>
      </c>
      <c r="L83" s="79">
        <v>10</v>
      </c>
      <c r="M83" s="79">
        <v>12</v>
      </c>
    </row>
    <row r="84" spans="1:13">
      <c r="A84" s="78">
        <v>1015413125</v>
      </c>
      <c r="B84" s="79">
        <v>66</v>
      </c>
      <c r="C84" s="79">
        <v>0</v>
      </c>
      <c r="D84" s="79">
        <v>6</v>
      </c>
      <c r="E84" s="79">
        <v>3</v>
      </c>
      <c r="F84" s="79">
        <v>7995000</v>
      </c>
      <c r="G84" s="79">
        <v>160952213.5</v>
      </c>
      <c r="H84" s="79">
        <v>13000000</v>
      </c>
      <c r="I84" s="79">
        <v>69704250</v>
      </c>
      <c r="J84" s="79">
        <v>0</v>
      </c>
      <c r="K84" s="79">
        <v>6</v>
      </c>
      <c r="L84" s="79">
        <v>4</v>
      </c>
      <c r="M84" s="79">
        <v>4</v>
      </c>
    </row>
    <row r="85" spans="1:13">
      <c r="A85" s="78">
        <v>1070010862</v>
      </c>
      <c r="B85" s="79">
        <v>58</v>
      </c>
      <c r="C85" s="79">
        <v>3</v>
      </c>
      <c r="D85" s="79">
        <v>9</v>
      </c>
      <c r="E85" s="79">
        <v>5</v>
      </c>
      <c r="F85" s="79">
        <v>4735000</v>
      </c>
      <c r="G85" s="79">
        <v>51000000</v>
      </c>
      <c r="H85" s="79">
        <v>120000000</v>
      </c>
      <c r="I85" s="79">
        <v>66070600</v>
      </c>
      <c r="J85" s="79">
        <v>0</v>
      </c>
      <c r="K85" s="79">
        <v>1</v>
      </c>
      <c r="L85" s="79">
        <v>0</v>
      </c>
      <c r="M85" s="79">
        <v>0</v>
      </c>
    </row>
    <row r="86" spans="1:13">
      <c r="A86" s="78">
        <v>1020452848</v>
      </c>
      <c r="B86" s="79">
        <v>31</v>
      </c>
      <c r="C86" s="79">
        <v>3</v>
      </c>
      <c r="D86" s="79">
        <v>10</v>
      </c>
      <c r="E86" s="79">
        <v>3</v>
      </c>
      <c r="F86" s="79">
        <v>8688477</v>
      </c>
      <c r="G86" s="79">
        <v>200000000</v>
      </c>
      <c r="H86" s="79">
        <v>0</v>
      </c>
      <c r="I86" s="79">
        <v>94461470</v>
      </c>
      <c r="J86" s="79">
        <v>0</v>
      </c>
      <c r="K86" s="79">
        <v>11</v>
      </c>
      <c r="L86" s="79">
        <v>11</v>
      </c>
      <c r="M86" s="79">
        <v>14</v>
      </c>
    </row>
    <row r="87" spans="1:13">
      <c r="A87" s="78">
        <v>1036641572</v>
      </c>
      <c r="B87" s="79">
        <v>35</v>
      </c>
      <c r="C87" s="79">
        <v>1</v>
      </c>
      <c r="D87" s="79">
        <v>1</v>
      </c>
      <c r="E87" s="79">
        <v>1</v>
      </c>
      <c r="F87" s="79">
        <v>3690000</v>
      </c>
      <c r="G87" s="79">
        <v>40000000</v>
      </c>
      <c r="H87" s="79">
        <v>24000000</v>
      </c>
      <c r="I87" s="79">
        <v>47380535</v>
      </c>
      <c r="J87" s="79">
        <v>0</v>
      </c>
      <c r="K87" s="79">
        <v>3</v>
      </c>
      <c r="L87" s="79">
        <v>9</v>
      </c>
      <c r="M87" s="79">
        <v>11</v>
      </c>
    </row>
    <row r="88" spans="1:13">
      <c r="A88" s="78">
        <v>51918311</v>
      </c>
      <c r="B88" s="79">
        <v>53</v>
      </c>
      <c r="C88" s="79">
        <v>2</v>
      </c>
      <c r="D88" s="79">
        <v>17</v>
      </c>
      <c r="E88" s="79">
        <v>2</v>
      </c>
      <c r="F88" s="79">
        <v>7380000</v>
      </c>
      <c r="G88" s="79">
        <v>27800000</v>
      </c>
      <c r="H88" s="79">
        <v>59100000</v>
      </c>
      <c r="I88" s="79">
        <v>111889630</v>
      </c>
      <c r="J88" s="79">
        <v>0</v>
      </c>
      <c r="K88" s="79">
        <v>1</v>
      </c>
      <c r="L88" s="79">
        <v>10</v>
      </c>
      <c r="M88" s="79">
        <v>1</v>
      </c>
    </row>
    <row r="89" spans="1:13">
      <c r="A89" s="78">
        <v>87061139</v>
      </c>
      <c r="B89" s="79">
        <v>34</v>
      </c>
      <c r="C89" s="79">
        <v>1</v>
      </c>
      <c r="D89" s="79">
        <v>12</v>
      </c>
      <c r="E89" s="79">
        <v>0</v>
      </c>
      <c r="F89" s="79">
        <v>1540000</v>
      </c>
      <c r="G89" s="79">
        <v>0</v>
      </c>
      <c r="H89" s="79">
        <v>0</v>
      </c>
      <c r="I89" s="79">
        <v>46166000</v>
      </c>
      <c r="J89" s="79">
        <v>0</v>
      </c>
      <c r="K89" s="79">
        <v>1</v>
      </c>
      <c r="L89" s="79">
        <v>3</v>
      </c>
      <c r="M89" s="79">
        <v>13</v>
      </c>
    </row>
    <row r="90" spans="1:13">
      <c r="A90" s="78">
        <v>1110456272</v>
      </c>
      <c r="B90" s="79">
        <v>85</v>
      </c>
      <c r="C90" s="79">
        <v>3</v>
      </c>
      <c r="D90" s="79">
        <v>10</v>
      </c>
      <c r="E90" s="79">
        <v>10</v>
      </c>
      <c r="F90" s="79">
        <v>3461346.75</v>
      </c>
      <c r="G90" s="79">
        <v>67150000</v>
      </c>
      <c r="H90" s="79">
        <v>32299999.999999996</v>
      </c>
      <c r="I90" s="79">
        <v>21749000</v>
      </c>
      <c r="J90" s="79">
        <v>0</v>
      </c>
      <c r="K90" s="79">
        <v>3</v>
      </c>
      <c r="L90" s="79">
        <v>14</v>
      </c>
      <c r="M90" s="79">
        <v>6</v>
      </c>
    </row>
    <row r="91" spans="1:13">
      <c r="A91" s="78">
        <v>52794583</v>
      </c>
      <c r="B91" s="79">
        <v>49</v>
      </c>
      <c r="C91" s="79">
        <v>8</v>
      </c>
      <c r="D91" s="79">
        <v>12</v>
      </c>
      <c r="E91" s="79">
        <v>0</v>
      </c>
      <c r="F91" s="79">
        <v>5350000</v>
      </c>
      <c r="G91" s="79">
        <v>50000000</v>
      </c>
      <c r="H91" s="79">
        <v>0</v>
      </c>
      <c r="I91" s="79">
        <v>77588404</v>
      </c>
      <c r="J91" s="79">
        <v>0</v>
      </c>
      <c r="K91" s="79">
        <v>3</v>
      </c>
      <c r="L91" s="79">
        <v>12</v>
      </c>
      <c r="M91" s="79">
        <v>9</v>
      </c>
    </row>
    <row r="92" spans="1:13">
      <c r="A92" s="78">
        <v>1032382633</v>
      </c>
      <c r="B92" s="79">
        <v>84</v>
      </c>
      <c r="C92" s="79">
        <v>8</v>
      </c>
      <c r="D92" s="79">
        <v>11</v>
      </c>
      <c r="E92" s="79">
        <v>4</v>
      </c>
      <c r="F92" s="79">
        <v>8610000</v>
      </c>
      <c r="G92" s="79">
        <v>79430000</v>
      </c>
      <c r="H92" s="79">
        <v>17903553.119999997</v>
      </c>
      <c r="I92" s="79">
        <v>49676000</v>
      </c>
      <c r="J92" s="79">
        <v>0</v>
      </c>
      <c r="K92" s="79">
        <v>0</v>
      </c>
      <c r="L92" s="79">
        <v>5</v>
      </c>
      <c r="M92" s="79">
        <v>2</v>
      </c>
    </row>
    <row r="93" spans="1:13">
      <c r="A93" s="78">
        <v>1110534685</v>
      </c>
      <c r="B93" s="79">
        <v>52</v>
      </c>
      <c r="C93" s="79">
        <v>4</v>
      </c>
      <c r="D93" s="79">
        <v>6</v>
      </c>
      <c r="E93" s="79">
        <v>8</v>
      </c>
      <c r="F93" s="79">
        <v>4837500</v>
      </c>
      <c r="G93" s="79">
        <v>89200000</v>
      </c>
      <c r="H93" s="79">
        <v>5484564.1000000015</v>
      </c>
      <c r="I93" s="79">
        <v>13481000</v>
      </c>
      <c r="J93" s="79">
        <v>0</v>
      </c>
      <c r="K93" s="79">
        <v>3</v>
      </c>
      <c r="L93" s="79">
        <v>5</v>
      </c>
      <c r="M93" s="79">
        <v>7</v>
      </c>
    </row>
    <row r="94" spans="1:13">
      <c r="A94" s="78">
        <v>52985881</v>
      </c>
      <c r="B94" s="79">
        <v>84</v>
      </c>
      <c r="C94" s="79">
        <v>1</v>
      </c>
      <c r="D94" s="79">
        <v>11</v>
      </c>
      <c r="E94" s="79">
        <v>2</v>
      </c>
      <c r="F94" s="79">
        <v>1702500</v>
      </c>
      <c r="G94" s="79">
        <v>26500000</v>
      </c>
      <c r="H94" s="79">
        <v>0</v>
      </c>
      <c r="I94" s="79">
        <v>22621625</v>
      </c>
      <c r="J94" s="79">
        <v>0</v>
      </c>
      <c r="K94" s="79">
        <v>0</v>
      </c>
      <c r="L94" s="79">
        <v>7</v>
      </c>
      <c r="M94" s="79">
        <v>4</v>
      </c>
    </row>
    <row r="95" spans="1:13">
      <c r="A95" s="78">
        <v>43982807</v>
      </c>
      <c r="B95" s="79">
        <v>48</v>
      </c>
      <c r="C95" s="79">
        <v>2</v>
      </c>
      <c r="D95" s="79">
        <v>3</v>
      </c>
      <c r="E95" s="79">
        <v>11</v>
      </c>
      <c r="F95" s="79">
        <v>10760015.833333334</v>
      </c>
      <c r="G95" s="79">
        <v>91000000</v>
      </c>
      <c r="H95" s="79">
        <v>0</v>
      </c>
      <c r="I95" s="79">
        <v>106480790</v>
      </c>
      <c r="J95" s="79">
        <v>0</v>
      </c>
      <c r="K95" s="79">
        <v>5</v>
      </c>
      <c r="L95" s="79">
        <v>7</v>
      </c>
      <c r="M95" s="79">
        <v>9</v>
      </c>
    </row>
    <row r="96" spans="1:13">
      <c r="A96" s="78">
        <v>1032441726</v>
      </c>
      <c r="B96" s="79">
        <v>103</v>
      </c>
      <c r="C96" s="79">
        <v>7</v>
      </c>
      <c r="D96" s="79">
        <v>13</v>
      </c>
      <c r="E96" s="79">
        <v>2</v>
      </c>
      <c r="F96" s="79">
        <v>3200000</v>
      </c>
      <c r="G96" s="79">
        <v>51600000</v>
      </c>
      <c r="H96" s="79">
        <v>60000000</v>
      </c>
      <c r="I96" s="79">
        <v>16656763</v>
      </c>
      <c r="J96" s="79">
        <v>0</v>
      </c>
      <c r="K96" s="79">
        <v>4</v>
      </c>
      <c r="L96" s="79">
        <v>9</v>
      </c>
      <c r="M96" s="79">
        <v>11</v>
      </c>
    </row>
    <row r="97" spans="1:13">
      <c r="A97" s="78">
        <v>36379017</v>
      </c>
      <c r="B97" s="79">
        <v>54</v>
      </c>
      <c r="C97" s="79">
        <v>1</v>
      </c>
      <c r="D97" s="79">
        <v>7</v>
      </c>
      <c r="E97" s="79">
        <v>2</v>
      </c>
      <c r="F97" s="79">
        <v>1660000</v>
      </c>
      <c r="G97" s="79">
        <v>76200000</v>
      </c>
      <c r="H97" s="79">
        <v>15000000</v>
      </c>
      <c r="I97" s="79">
        <v>53844000</v>
      </c>
      <c r="J97" s="79">
        <v>0</v>
      </c>
      <c r="K97" s="79">
        <v>6</v>
      </c>
      <c r="L97" s="79">
        <v>7</v>
      </c>
      <c r="M97" s="79">
        <v>4</v>
      </c>
    </row>
    <row r="98" spans="1:13">
      <c r="A98" s="78">
        <v>1032476920</v>
      </c>
      <c r="B98" s="79">
        <v>156</v>
      </c>
      <c r="C98" s="79">
        <v>2</v>
      </c>
      <c r="D98" s="79">
        <v>8</v>
      </c>
      <c r="E98" s="79">
        <v>0</v>
      </c>
      <c r="F98" s="79">
        <v>5105000</v>
      </c>
      <c r="G98" s="79">
        <v>31700000</v>
      </c>
      <c r="H98" s="79">
        <v>21000000</v>
      </c>
      <c r="I98" s="79">
        <v>78594722</v>
      </c>
      <c r="J98" s="79">
        <v>0</v>
      </c>
      <c r="K98" s="79">
        <v>0</v>
      </c>
      <c r="L98" s="79">
        <v>2</v>
      </c>
      <c r="M98" s="79">
        <v>4</v>
      </c>
    </row>
    <row r="99" spans="1:13">
      <c r="A99" s="78">
        <v>80912936</v>
      </c>
      <c r="B99" s="79">
        <v>100</v>
      </c>
      <c r="C99" s="79">
        <v>8</v>
      </c>
      <c r="D99" s="79">
        <v>7</v>
      </c>
      <c r="E99" s="79">
        <v>3</v>
      </c>
      <c r="F99" s="79">
        <v>6591666.666666667</v>
      </c>
      <c r="G99" s="79">
        <v>44100000</v>
      </c>
      <c r="H99" s="79">
        <v>76293182.719999999</v>
      </c>
      <c r="I99" s="79">
        <v>140300000</v>
      </c>
      <c r="J99" s="79">
        <v>0</v>
      </c>
      <c r="K99" s="79">
        <v>1</v>
      </c>
      <c r="L99" s="79">
        <v>2</v>
      </c>
      <c r="M99" s="79">
        <v>2</v>
      </c>
    </row>
    <row r="100" spans="1:13">
      <c r="A100" s="78">
        <v>1022968395</v>
      </c>
      <c r="B100" s="79">
        <v>77</v>
      </c>
      <c r="C100" s="79">
        <v>1</v>
      </c>
      <c r="D100" s="79">
        <v>2</v>
      </c>
      <c r="E100" s="79">
        <v>1</v>
      </c>
      <c r="F100" s="79">
        <v>10025000</v>
      </c>
      <c r="G100" s="79">
        <v>60696800</v>
      </c>
      <c r="H100" s="79">
        <v>44000000</v>
      </c>
      <c r="I100" s="79">
        <v>13290000</v>
      </c>
      <c r="J100" s="79">
        <v>0</v>
      </c>
      <c r="K100" s="79">
        <v>3</v>
      </c>
      <c r="L100" s="79">
        <v>5</v>
      </c>
      <c r="M100" s="79">
        <v>3</v>
      </c>
    </row>
    <row r="101" spans="1:13">
      <c r="A101" s="78">
        <v>59831498</v>
      </c>
      <c r="B101" s="79">
        <v>84</v>
      </c>
      <c r="C101" s="79">
        <v>9</v>
      </c>
      <c r="D101" s="79">
        <v>5</v>
      </c>
      <c r="E101" s="79">
        <v>5</v>
      </c>
      <c r="F101" s="79">
        <v>11810000</v>
      </c>
      <c r="G101" s="79">
        <v>169806317.50999999</v>
      </c>
      <c r="H101" s="79">
        <v>0</v>
      </c>
      <c r="I101" s="79">
        <v>67604000</v>
      </c>
      <c r="J101" s="79">
        <v>0</v>
      </c>
      <c r="K101" s="79">
        <v>6</v>
      </c>
      <c r="L101" s="79">
        <v>17</v>
      </c>
      <c r="M101" s="79">
        <v>10</v>
      </c>
    </row>
    <row r="102" spans="1:13">
      <c r="A102" s="78">
        <v>59829540</v>
      </c>
      <c r="B102" s="79">
        <v>57</v>
      </c>
      <c r="C102" s="79">
        <v>7</v>
      </c>
      <c r="D102" s="79">
        <v>14</v>
      </c>
      <c r="E102" s="79">
        <v>4</v>
      </c>
      <c r="F102" s="79">
        <v>7992056.75</v>
      </c>
      <c r="G102" s="79">
        <v>76408401.689999998</v>
      </c>
      <c r="H102" s="79">
        <v>13000000</v>
      </c>
      <c r="I102" s="79">
        <v>124803837</v>
      </c>
      <c r="J102" s="79">
        <v>0</v>
      </c>
      <c r="K102" s="79">
        <v>4</v>
      </c>
      <c r="L102" s="79">
        <v>9</v>
      </c>
      <c r="M102" s="79">
        <v>10</v>
      </c>
    </row>
    <row r="103" spans="1:13">
      <c r="A103" s="78">
        <v>1014212838</v>
      </c>
      <c r="B103" s="79">
        <v>72</v>
      </c>
      <c r="C103" s="79">
        <v>2</v>
      </c>
      <c r="D103" s="79">
        <v>20</v>
      </c>
      <c r="E103" s="79">
        <v>2</v>
      </c>
      <c r="F103" s="79">
        <v>10455000</v>
      </c>
      <c r="G103" s="79">
        <v>100000000</v>
      </c>
      <c r="H103" s="79">
        <v>0</v>
      </c>
      <c r="I103" s="79">
        <v>140440191</v>
      </c>
      <c r="J103" s="79">
        <v>0</v>
      </c>
      <c r="K103" s="79">
        <v>1</v>
      </c>
      <c r="L103" s="79">
        <v>8</v>
      </c>
      <c r="M103" s="79">
        <v>6</v>
      </c>
    </row>
    <row r="104" spans="1:13">
      <c r="A104" s="78">
        <v>1060651544</v>
      </c>
      <c r="B104" s="79">
        <v>55</v>
      </c>
      <c r="C104" s="79">
        <v>3</v>
      </c>
      <c r="D104" s="79">
        <v>7</v>
      </c>
      <c r="E104" s="79">
        <v>7</v>
      </c>
      <c r="F104" s="79">
        <v>8425000</v>
      </c>
      <c r="G104" s="79">
        <v>95500000</v>
      </c>
      <c r="H104" s="79">
        <v>0</v>
      </c>
      <c r="I104" s="79">
        <v>46080574</v>
      </c>
      <c r="J104" s="79">
        <v>0</v>
      </c>
      <c r="K104" s="79">
        <v>8</v>
      </c>
      <c r="L104" s="79">
        <v>8</v>
      </c>
      <c r="M104" s="79">
        <v>10</v>
      </c>
    </row>
    <row r="105" spans="1:13">
      <c r="A105" s="78">
        <v>16937738</v>
      </c>
      <c r="B105" s="79">
        <v>59</v>
      </c>
      <c r="C105" s="79">
        <v>8</v>
      </c>
      <c r="D105" s="79">
        <v>13</v>
      </c>
      <c r="E105" s="79">
        <v>1</v>
      </c>
      <c r="F105" s="79">
        <v>8457000</v>
      </c>
      <c r="G105" s="79">
        <v>99000000</v>
      </c>
      <c r="H105" s="79">
        <v>20000000</v>
      </c>
      <c r="I105" s="79">
        <v>98355341</v>
      </c>
      <c r="J105" s="79">
        <v>0</v>
      </c>
      <c r="K105" s="79">
        <v>7</v>
      </c>
      <c r="L105" s="79">
        <v>7</v>
      </c>
      <c r="M105" s="79">
        <v>19</v>
      </c>
    </row>
    <row r="106" spans="1:13">
      <c r="A106" s="78">
        <v>1019119838</v>
      </c>
      <c r="B106" s="79">
        <v>144</v>
      </c>
      <c r="C106" s="79">
        <v>9</v>
      </c>
      <c r="D106" s="79">
        <v>4</v>
      </c>
      <c r="E106" s="79">
        <v>4</v>
      </c>
      <c r="F106" s="79">
        <v>2747500</v>
      </c>
      <c r="G106" s="79">
        <v>47200000</v>
      </c>
      <c r="H106" s="79">
        <v>0</v>
      </c>
      <c r="I106" s="79">
        <v>55814280</v>
      </c>
      <c r="J106" s="79">
        <v>0</v>
      </c>
      <c r="K106" s="79">
        <v>3</v>
      </c>
      <c r="L106" s="79">
        <v>7</v>
      </c>
      <c r="M106" s="79">
        <v>3</v>
      </c>
    </row>
    <row r="107" spans="1:13">
      <c r="A107" s="78">
        <v>1013584201</v>
      </c>
      <c r="B107" s="79">
        <v>27</v>
      </c>
      <c r="C107" s="79">
        <v>3</v>
      </c>
      <c r="D107" s="79">
        <v>12</v>
      </c>
      <c r="E107" s="79">
        <v>4</v>
      </c>
      <c r="F107" s="79">
        <v>5105000</v>
      </c>
      <c r="G107" s="79">
        <v>81000000</v>
      </c>
      <c r="H107" s="79">
        <v>9087330.6500000004</v>
      </c>
      <c r="I107" s="79">
        <v>93989986</v>
      </c>
      <c r="J107" s="79">
        <v>0</v>
      </c>
      <c r="K107" s="79">
        <v>3</v>
      </c>
      <c r="L107" s="79">
        <v>8</v>
      </c>
      <c r="M107" s="79">
        <v>6</v>
      </c>
    </row>
    <row r="108" spans="1:13">
      <c r="A108" s="78">
        <v>36312342</v>
      </c>
      <c r="B108" s="79">
        <v>78</v>
      </c>
      <c r="C108" s="79">
        <v>5</v>
      </c>
      <c r="D108" s="79">
        <v>13</v>
      </c>
      <c r="E108" s="79">
        <v>1</v>
      </c>
      <c r="F108" s="79">
        <v>6825000</v>
      </c>
      <c r="G108" s="79">
        <v>96651838.870000005</v>
      </c>
      <c r="H108" s="79">
        <v>0</v>
      </c>
      <c r="I108" s="79">
        <v>124198600</v>
      </c>
      <c r="J108" s="79">
        <v>0</v>
      </c>
      <c r="K108" s="79">
        <v>3</v>
      </c>
      <c r="L108" s="79">
        <v>3</v>
      </c>
      <c r="M108" s="79">
        <v>5</v>
      </c>
    </row>
    <row r="109" spans="1:13">
      <c r="A109" s="78">
        <v>1015445334</v>
      </c>
      <c r="B109" s="79">
        <v>67</v>
      </c>
      <c r="C109" s="79">
        <v>3</v>
      </c>
      <c r="D109" s="79">
        <v>1</v>
      </c>
      <c r="E109" s="79">
        <v>2</v>
      </c>
      <c r="F109" s="79">
        <v>1230000</v>
      </c>
      <c r="G109" s="79">
        <v>27000000</v>
      </c>
      <c r="H109" s="79">
        <v>0</v>
      </c>
      <c r="I109" s="79">
        <v>43360706</v>
      </c>
      <c r="J109" s="79">
        <v>0</v>
      </c>
      <c r="K109" s="79">
        <v>0</v>
      </c>
      <c r="L109" s="79">
        <v>5</v>
      </c>
      <c r="M109" s="79">
        <v>1</v>
      </c>
    </row>
    <row r="110" spans="1:13">
      <c r="A110" s="78">
        <v>52316019</v>
      </c>
      <c r="B110" s="79">
        <v>74</v>
      </c>
      <c r="C110" s="79">
        <v>5</v>
      </c>
      <c r="D110" s="79">
        <v>6</v>
      </c>
      <c r="E110" s="79">
        <v>2</v>
      </c>
      <c r="F110" s="79">
        <v>448024.16666666674</v>
      </c>
      <c r="G110" s="79">
        <v>95778491</v>
      </c>
      <c r="H110" s="79">
        <v>0</v>
      </c>
      <c r="I110" s="79">
        <v>30917745</v>
      </c>
      <c r="J110" s="79">
        <v>0</v>
      </c>
      <c r="K110" s="79">
        <v>4</v>
      </c>
      <c r="L110" s="79">
        <v>14</v>
      </c>
      <c r="M110" s="79">
        <v>17</v>
      </c>
    </row>
    <row r="111" spans="1:13">
      <c r="A111" s="78">
        <v>1152186210</v>
      </c>
      <c r="B111" s="79">
        <v>33</v>
      </c>
      <c r="C111" s="79">
        <v>0</v>
      </c>
      <c r="D111" s="79">
        <v>5</v>
      </c>
      <c r="E111" s="79">
        <v>9</v>
      </c>
      <c r="F111" s="79">
        <v>8325220.5</v>
      </c>
      <c r="G111" s="79">
        <v>68900000</v>
      </c>
      <c r="H111" s="79">
        <v>0</v>
      </c>
      <c r="I111" s="79">
        <v>136723763</v>
      </c>
      <c r="J111" s="79">
        <v>0</v>
      </c>
      <c r="K111" s="79">
        <v>3</v>
      </c>
      <c r="L111" s="79">
        <v>14</v>
      </c>
      <c r="M111" s="79">
        <v>12</v>
      </c>
    </row>
    <row r="112" spans="1:13">
      <c r="A112" s="78">
        <v>1016022263</v>
      </c>
      <c r="B112" s="79">
        <v>66</v>
      </c>
      <c r="C112" s="79">
        <v>6</v>
      </c>
      <c r="D112" s="79">
        <v>8</v>
      </c>
      <c r="E112" s="79">
        <v>2</v>
      </c>
      <c r="F112" s="79">
        <v>8897500</v>
      </c>
      <c r="G112" s="79">
        <v>72000000</v>
      </c>
      <c r="H112" s="79">
        <v>15000000</v>
      </c>
      <c r="I112" s="79">
        <v>43562000</v>
      </c>
      <c r="J112" s="79">
        <v>0</v>
      </c>
      <c r="K112" s="79">
        <v>3</v>
      </c>
      <c r="L112" s="79">
        <v>3</v>
      </c>
      <c r="M112" s="79">
        <v>4</v>
      </c>
    </row>
    <row r="113" spans="1:13">
      <c r="A113" s="78">
        <v>1090418259</v>
      </c>
      <c r="B113" s="79">
        <v>53</v>
      </c>
      <c r="C113" s="79">
        <v>3</v>
      </c>
      <c r="D113" s="79">
        <v>5</v>
      </c>
      <c r="E113" s="79">
        <v>2</v>
      </c>
      <c r="F113" s="79">
        <v>8300000</v>
      </c>
      <c r="G113" s="79">
        <v>110431659.09999999</v>
      </c>
      <c r="H113" s="79">
        <v>0</v>
      </c>
      <c r="I113" s="79">
        <v>26979885</v>
      </c>
      <c r="J113" s="79">
        <v>0</v>
      </c>
      <c r="K113" s="79">
        <v>3</v>
      </c>
      <c r="L113" s="79">
        <v>11</v>
      </c>
      <c r="M113" s="79">
        <v>14</v>
      </c>
    </row>
    <row r="114" spans="1:13">
      <c r="A114" s="78">
        <v>1129533233</v>
      </c>
      <c r="B114" s="79">
        <v>66</v>
      </c>
      <c r="C114" s="79">
        <v>1</v>
      </c>
      <c r="D114" s="79">
        <v>7</v>
      </c>
      <c r="E114" s="79">
        <v>1</v>
      </c>
      <c r="F114" s="79">
        <v>4305000</v>
      </c>
      <c r="G114" s="79">
        <v>36200000</v>
      </c>
      <c r="H114" s="79">
        <v>0</v>
      </c>
      <c r="I114" s="79">
        <v>12706823</v>
      </c>
      <c r="J114" s="79">
        <v>0</v>
      </c>
      <c r="K114" s="79">
        <v>0</v>
      </c>
      <c r="L114" s="79">
        <v>2</v>
      </c>
      <c r="M114" s="79">
        <v>15</v>
      </c>
    </row>
    <row r="115" spans="1:13">
      <c r="A115" s="78">
        <v>1110455144</v>
      </c>
      <c r="B115" s="79">
        <v>93</v>
      </c>
      <c r="C115" s="79">
        <v>1</v>
      </c>
      <c r="D115" s="79">
        <v>7</v>
      </c>
      <c r="E115" s="79">
        <v>4</v>
      </c>
      <c r="F115" s="79">
        <v>7320000</v>
      </c>
      <c r="G115" s="79">
        <v>122910000</v>
      </c>
      <c r="H115" s="79">
        <v>75000000</v>
      </c>
      <c r="I115" s="79">
        <v>59614354</v>
      </c>
      <c r="J115" s="79">
        <v>0</v>
      </c>
      <c r="K115" s="79">
        <v>7</v>
      </c>
      <c r="L115" s="79">
        <v>8</v>
      </c>
      <c r="M115" s="79">
        <v>14</v>
      </c>
    </row>
    <row r="116" spans="1:13">
      <c r="A116" s="78">
        <v>1095816078</v>
      </c>
      <c r="B116" s="79">
        <v>91</v>
      </c>
      <c r="C116" s="79">
        <v>2</v>
      </c>
      <c r="D116" s="79">
        <v>10</v>
      </c>
      <c r="E116" s="79">
        <v>0</v>
      </c>
      <c r="F116" s="79">
        <v>1660000</v>
      </c>
      <c r="G116" s="79">
        <v>11200000</v>
      </c>
      <c r="H116" s="79">
        <v>0</v>
      </c>
      <c r="I116" s="79">
        <v>20900000</v>
      </c>
      <c r="J116" s="79">
        <v>0</v>
      </c>
      <c r="K116" s="79">
        <v>1</v>
      </c>
      <c r="L116" s="79">
        <v>11</v>
      </c>
      <c r="M116" s="79">
        <v>10</v>
      </c>
    </row>
    <row r="117" spans="1:13">
      <c r="A117" s="78">
        <v>1022373282</v>
      </c>
      <c r="B117" s="79">
        <v>68</v>
      </c>
      <c r="C117" s="79">
        <v>2</v>
      </c>
      <c r="D117" s="79">
        <v>13</v>
      </c>
      <c r="E117" s="79">
        <v>2</v>
      </c>
      <c r="F117" s="79">
        <v>4860000</v>
      </c>
      <c r="G117" s="79">
        <v>22300000</v>
      </c>
      <c r="H117" s="79">
        <v>35523510.210000001</v>
      </c>
      <c r="I117" s="79">
        <v>59573100</v>
      </c>
      <c r="J117" s="79">
        <v>0</v>
      </c>
      <c r="K117" s="79">
        <v>2</v>
      </c>
      <c r="L117" s="79">
        <v>8</v>
      </c>
      <c r="M117" s="79">
        <v>5</v>
      </c>
    </row>
    <row r="118" spans="1:13">
      <c r="A118" s="78">
        <v>91529653</v>
      </c>
      <c r="B118" s="79">
        <v>67</v>
      </c>
      <c r="C118" s="79">
        <v>4</v>
      </c>
      <c r="D118" s="79">
        <v>8</v>
      </c>
      <c r="E118" s="79">
        <v>2</v>
      </c>
      <c r="F118" s="79">
        <v>4561250</v>
      </c>
      <c r="G118" s="79">
        <v>27537636.170000002</v>
      </c>
      <c r="H118" s="79">
        <v>14679994.050000001</v>
      </c>
      <c r="I118" s="79">
        <v>71195801</v>
      </c>
      <c r="J118" s="79">
        <v>0</v>
      </c>
      <c r="K118" s="79">
        <v>2</v>
      </c>
      <c r="L118" s="79">
        <v>14</v>
      </c>
      <c r="M118" s="79">
        <v>6</v>
      </c>
    </row>
    <row r="119" spans="1:13">
      <c r="A119" s="78">
        <v>37393718</v>
      </c>
      <c r="B119" s="79">
        <v>77</v>
      </c>
      <c r="C119" s="79">
        <v>6</v>
      </c>
      <c r="D119" s="79">
        <v>11</v>
      </c>
      <c r="E119" s="79">
        <v>2</v>
      </c>
      <c r="F119" s="79">
        <v>7625000</v>
      </c>
      <c r="G119" s="79">
        <v>111650000</v>
      </c>
      <c r="H119" s="79">
        <v>0</v>
      </c>
      <c r="I119" s="79">
        <v>123647891</v>
      </c>
      <c r="J119" s="79">
        <v>0</v>
      </c>
      <c r="K119" s="79">
        <v>7</v>
      </c>
      <c r="L119" s="79">
        <v>19</v>
      </c>
      <c r="M119" s="79">
        <v>21</v>
      </c>
    </row>
    <row r="120" spans="1:13">
      <c r="A120" s="78">
        <v>1022337954</v>
      </c>
      <c r="B120" s="79">
        <v>89</v>
      </c>
      <c r="C120" s="79">
        <v>0</v>
      </c>
      <c r="D120" s="79">
        <v>10</v>
      </c>
      <c r="E120" s="79">
        <v>1</v>
      </c>
      <c r="F120" s="79">
        <v>607661.66666666674</v>
      </c>
      <c r="G120" s="79">
        <v>80000000</v>
      </c>
      <c r="H120" s="79">
        <v>16549697.899999999</v>
      </c>
      <c r="I120" s="79">
        <v>62572716</v>
      </c>
      <c r="J120" s="79">
        <v>0</v>
      </c>
      <c r="K120" s="79">
        <v>3</v>
      </c>
      <c r="L120" s="79">
        <v>37</v>
      </c>
      <c r="M120" s="79">
        <v>16</v>
      </c>
    </row>
    <row r="121" spans="1:13">
      <c r="A121" s="78">
        <v>80058437</v>
      </c>
      <c r="B121" s="79">
        <v>47</v>
      </c>
      <c r="C121" s="79">
        <v>8</v>
      </c>
      <c r="D121" s="79">
        <v>6</v>
      </c>
      <c r="E121" s="79">
        <v>0</v>
      </c>
      <c r="F121" s="79">
        <v>1087500</v>
      </c>
      <c r="G121" s="79">
        <v>23000000</v>
      </c>
      <c r="H121" s="79">
        <v>0</v>
      </c>
      <c r="I121" s="79">
        <v>49215700</v>
      </c>
      <c r="J121" s="79">
        <v>0</v>
      </c>
      <c r="K121" s="79">
        <v>0</v>
      </c>
      <c r="L121" s="79">
        <v>8</v>
      </c>
      <c r="M121" s="79">
        <v>3</v>
      </c>
    </row>
    <row r="122" spans="1:13">
      <c r="A122" s="78">
        <v>1053333894</v>
      </c>
      <c r="B122" s="79">
        <v>68</v>
      </c>
      <c r="C122" s="79">
        <v>3</v>
      </c>
      <c r="D122" s="79">
        <v>8</v>
      </c>
      <c r="E122" s="79">
        <v>4</v>
      </c>
      <c r="F122" s="79">
        <v>5290000</v>
      </c>
      <c r="G122" s="79">
        <v>67400000</v>
      </c>
      <c r="H122" s="79">
        <v>5044555.93</v>
      </c>
      <c r="I122" s="79">
        <v>50773200</v>
      </c>
      <c r="J122" s="79">
        <v>0</v>
      </c>
      <c r="K122" s="79">
        <v>2</v>
      </c>
      <c r="L122" s="79">
        <v>7</v>
      </c>
      <c r="M122" s="79">
        <v>3</v>
      </c>
    </row>
    <row r="123" spans="1:13">
      <c r="A123" s="78">
        <v>52395260</v>
      </c>
      <c r="B123" s="79">
        <v>36</v>
      </c>
      <c r="C123" s="79">
        <v>4</v>
      </c>
      <c r="D123" s="79">
        <v>12</v>
      </c>
      <c r="E123" s="79">
        <v>6</v>
      </c>
      <c r="F123" s="79">
        <v>1873857.5</v>
      </c>
      <c r="G123" s="79">
        <v>11200000</v>
      </c>
      <c r="H123" s="79">
        <v>0</v>
      </c>
      <c r="I123" s="79">
        <v>45578000</v>
      </c>
      <c r="J123" s="79">
        <v>0</v>
      </c>
      <c r="K123" s="79">
        <v>1</v>
      </c>
      <c r="L123" s="79">
        <v>3</v>
      </c>
      <c r="M123" s="79">
        <v>0</v>
      </c>
    </row>
    <row r="124" spans="1:13">
      <c r="A124" s="78">
        <v>1076383411</v>
      </c>
      <c r="B124" s="79">
        <v>81</v>
      </c>
      <c r="C124" s="79">
        <v>5</v>
      </c>
      <c r="D124" s="79">
        <v>10</v>
      </c>
      <c r="E124" s="79">
        <v>10</v>
      </c>
      <c r="F124" s="79">
        <v>1600000</v>
      </c>
      <c r="G124" s="79">
        <v>22000000</v>
      </c>
      <c r="H124" s="79">
        <v>0</v>
      </c>
      <c r="I124" s="79">
        <v>53846700</v>
      </c>
      <c r="J124" s="79">
        <v>0</v>
      </c>
      <c r="K124" s="79">
        <v>5</v>
      </c>
      <c r="L124" s="79">
        <v>11</v>
      </c>
      <c r="M124" s="79">
        <v>7</v>
      </c>
    </row>
    <row r="125" spans="1:13">
      <c r="A125" s="78">
        <v>59828397</v>
      </c>
      <c r="B125" s="79">
        <v>27</v>
      </c>
      <c r="C125" s="79">
        <v>7</v>
      </c>
      <c r="D125" s="79">
        <v>14</v>
      </c>
      <c r="E125" s="79">
        <v>1</v>
      </c>
      <c r="F125" s="79">
        <v>2926000</v>
      </c>
      <c r="G125" s="79">
        <v>45000000</v>
      </c>
      <c r="H125" s="79">
        <v>0</v>
      </c>
      <c r="I125" s="79">
        <v>30431000</v>
      </c>
      <c r="J125" s="79">
        <v>0</v>
      </c>
      <c r="K125" s="79">
        <v>2</v>
      </c>
      <c r="L125" s="79">
        <v>6</v>
      </c>
      <c r="M125" s="79">
        <v>13</v>
      </c>
    </row>
    <row r="126" spans="1:13">
      <c r="A126" s="78">
        <v>1128470692</v>
      </c>
      <c r="B126" s="79">
        <v>69</v>
      </c>
      <c r="C126" s="79">
        <v>2</v>
      </c>
      <c r="D126" s="79">
        <v>6</v>
      </c>
      <c r="E126" s="79">
        <v>0</v>
      </c>
      <c r="F126" s="79">
        <v>8193386.833333333</v>
      </c>
      <c r="G126" s="79">
        <v>103000000</v>
      </c>
      <c r="H126" s="79">
        <v>0</v>
      </c>
      <c r="I126" s="79">
        <v>131779550</v>
      </c>
      <c r="J126" s="79">
        <v>0</v>
      </c>
      <c r="K126" s="79">
        <v>4</v>
      </c>
      <c r="L126" s="79">
        <v>11</v>
      </c>
      <c r="M126" s="79">
        <v>5</v>
      </c>
    </row>
    <row r="127" spans="1:13">
      <c r="A127" s="78">
        <v>1124017849</v>
      </c>
      <c r="B127" s="79">
        <v>28</v>
      </c>
      <c r="C127" s="79">
        <v>1</v>
      </c>
      <c r="D127" s="79">
        <v>5</v>
      </c>
      <c r="E127" s="79">
        <v>0</v>
      </c>
      <c r="F127" s="79">
        <v>0</v>
      </c>
      <c r="G127" s="79">
        <v>0</v>
      </c>
      <c r="H127" s="79">
        <v>0</v>
      </c>
      <c r="I127" s="79">
        <v>0</v>
      </c>
      <c r="J127" s="79">
        <v>0</v>
      </c>
      <c r="K127" s="79">
        <v>0</v>
      </c>
      <c r="L127" s="79">
        <v>4</v>
      </c>
      <c r="M127" s="79">
        <v>9</v>
      </c>
    </row>
    <row r="128" spans="1:13">
      <c r="A128" s="78">
        <v>1037577914</v>
      </c>
      <c r="B128" s="79">
        <v>73</v>
      </c>
      <c r="C128" s="79">
        <v>2</v>
      </c>
      <c r="D128" s="79">
        <v>6</v>
      </c>
      <c r="E128" s="79">
        <v>7</v>
      </c>
      <c r="F128" s="79">
        <v>4389874.166666667</v>
      </c>
      <c r="G128" s="79">
        <v>125500000</v>
      </c>
      <c r="H128" s="79">
        <v>15000000</v>
      </c>
      <c r="I128" s="79">
        <v>102800474</v>
      </c>
      <c r="J128" s="79">
        <v>0</v>
      </c>
      <c r="K128" s="79">
        <v>7</v>
      </c>
      <c r="L128" s="79">
        <v>7</v>
      </c>
      <c r="M128" s="79">
        <v>7</v>
      </c>
    </row>
    <row r="129" spans="1:13">
      <c r="A129" s="78">
        <v>22448668</v>
      </c>
      <c r="B129" s="79">
        <v>14</v>
      </c>
      <c r="C129" s="79">
        <v>0</v>
      </c>
      <c r="D129" s="79">
        <v>2</v>
      </c>
      <c r="E129" s="79">
        <v>1</v>
      </c>
      <c r="F129" s="79">
        <v>40000</v>
      </c>
      <c r="G129" s="79">
        <v>0</v>
      </c>
      <c r="H129" s="79">
        <v>0</v>
      </c>
      <c r="I129" s="79">
        <v>4761124</v>
      </c>
      <c r="J129" s="79">
        <v>0</v>
      </c>
      <c r="K129" s="79">
        <v>0</v>
      </c>
      <c r="L129" s="79">
        <v>4</v>
      </c>
      <c r="M129" s="79">
        <v>1</v>
      </c>
    </row>
    <row r="130" spans="1:13">
      <c r="A130" s="78">
        <v>1024502023</v>
      </c>
      <c r="B130" s="79">
        <v>67</v>
      </c>
      <c r="C130" s="79">
        <v>1</v>
      </c>
      <c r="D130" s="79">
        <v>4</v>
      </c>
      <c r="E130" s="79">
        <v>0</v>
      </c>
      <c r="F130" s="79">
        <v>0</v>
      </c>
      <c r="G130" s="79">
        <v>5000000</v>
      </c>
      <c r="H130" s="79">
        <v>0</v>
      </c>
      <c r="I130" s="79">
        <v>31968290</v>
      </c>
      <c r="J130" s="79">
        <v>0</v>
      </c>
      <c r="K130" s="79">
        <v>0</v>
      </c>
      <c r="L130" s="79">
        <v>1</v>
      </c>
      <c r="M130" s="79">
        <v>0</v>
      </c>
    </row>
    <row r="131" spans="1:13">
      <c r="A131" s="78">
        <v>1023871661</v>
      </c>
      <c r="B131" s="79">
        <v>34</v>
      </c>
      <c r="C131" s="79">
        <v>5</v>
      </c>
      <c r="D131" s="79">
        <v>8</v>
      </c>
      <c r="E131" s="79">
        <v>3</v>
      </c>
      <c r="F131" s="79">
        <v>185000</v>
      </c>
      <c r="G131" s="79">
        <v>68100000</v>
      </c>
      <c r="H131" s="79">
        <v>120000000</v>
      </c>
      <c r="I131" s="79">
        <v>27530509</v>
      </c>
      <c r="J131" s="79">
        <v>0</v>
      </c>
      <c r="K131" s="79">
        <v>0</v>
      </c>
      <c r="L131" s="79">
        <v>1</v>
      </c>
      <c r="M131" s="79">
        <v>2</v>
      </c>
    </row>
    <row r="132" spans="1:13">
      <c r="A132" s="78">
        <v>1140824117</v>
      </c>
      <c r="B132" s="79">
        <v>52</v>
      </c>
      <c r="C132" s="79">
        <v>1</v>
      </c>
      <c r="D132" s="79">
        <v>12</v>
      </c>
      <c r="E132" s="79">
        <v>0</v>
      </c>
      <c r="F132" s="79">
        <v>6335000</v>
      </c>
      <c r="G132" s="79">
        <v>53700000</v>
      </c>
      <c r="H132" s="79">
        <v>0</v>
      </c>
      <c r="I132" s="79">
        <v>0</v>
      </c>
      <c r="J132" s="79">
        <v>0</v>
      </c>
      <c r="K132" s="79">
        <v>2</v>
      </c>
      <c r="L132" s="79">
        <v>11</v>
      </c>
      <c r="M132" s="79">
        <v>12</v>
      </c>
    </row>
    <row r="133" spans="1:13">
      <c r="A133" s="78">
        <v>1030666605</v>
      </c>
      <c r="B133" s="79">
        <v>100</v>
      </c>
      <c r="C133" s="79">
        <v>2</v>
      </c>
      <c r="D133" s="79">
        <v>7</v>
      </c>
      <c r="E133" s="79">
        <v>1</v>
      </c>
      <c r="F133" s="79">
        <v>6090000</v>
      </c>
      <c r="G133" s="79">
        <v>78000000</v>
      </c>
      <c r="H133" s="79">
        <v>0</v>
      </c>
      <c r="I133" s="79">
        <v>63723100</v>
      </c>
      <c r="J133" s="79">
        <v>0</v>
      </c>
      <c r="K133" s="79">
        <v>3</v>
      </c>
      <c r="L133" s="79">
        <v>7</v>
      </c>
      <c r="M133" s="79">
        <v>6</v>
      </c>
    </row>
    <row r="134" spans="1:13">
      <c r="A134" s="78">
        <v>1140868919</v>
      </c>
      <c r="B134" s="79">
        <v>69</v>
      </c>
      <c r="C134" s="79">
        <v>1</v>
      </c>
      <c r="D134" s="79">
        <v>9</v>
      </c>
      <c r="E134" s="79">
        <v>1</v>
      </c>
      <c r="F134" s="79">
        <v>5220000</v>
      </c>
      <c r="G134" s="79">
        <v>136000000</v>
      </c>
      <c r="H134" s="79">
        <v>0</v>
      </c>
      <c r="I134" s="79">
        <v>45430107</v>
      </c>
      <c r="J134" s="79">
        <v>0</v>
      </c>
      <c r="K134" s="79">
        <v>1</v>
      </c>
      <c r="L134" s="79">
        <v>12</v>
      </c>
      <c r="M134" s="79">
        <v>7</v>
      </c>
    </row>
    <row r="135" spans="1:13">
      <c r="A135" s="78">
        <v>51835123</v>
      </c>
      <c r="B135" s="79">
        <v>27</v>
      </c>
      <c r="C135" s="79">
        <v>0</v>
      </c>
      <c r="D135" s="79">
        <v>4</v>
      </c>
      <c r="E135" s="79">
        <v>7</v>
      </c>
      <c r="F135" s="79">
        <v>615000</v>
      </c>
      <c r="G135" s="79">
        <v>-22900000</v>
      </c>
      <c r="H135" s="79">
        <v>0</v>
      </c>
      <c r="I135" s="79">
        <v>58534969</v>
      </c>
      <c r="J135" s="79">
        <v>0</v>
      </c>
      <c r="K135" s="79">
        <v>0</v>
      </c>
      <c r="L135" s="79">
        <v>1</v>
      </c>
      <c r="M135" s="79">
        <v>2</v>
      </c>
    </row>
    <row r="136" spans="1:13">
      <c r="A136" s="78">
        <v>1081813294</v>
      </c>
      <c r="B136" s="79">
        <v>79</v>
      </c>
      <c r="C136" s="79">
        <v>2</v>
      </c>
      <c r="D136" s="79">
        <v>17</v>
      </c>
      <c r="E136" s="79">
        <v>2</v>
      </c>
      <c r="F136" s="79">
        <v>9410000</v>
      </c>
      <c r="G136" s="79">
        <v>217410000</v>
      </c>
      <c r="H136" s="79">
        <v>0</v>
      </c>
      <c r="I136" s="79">
        <v>102847317</v>
      </c>
      <c r="J136" s="79">
        <v>0</v>
      </c>
      <c r="K136" s="79">
        <v>6</v>
      </c>
      <c r="L136" s="79">
        <v>6</v>
      </c>
      <c r="M136" s="79">
        <v>6</v>
      </c>
    </row>
    <row r="137" spans="1:13">
      <c r="A137" s="78">
        <v>79685961</v>
      </c>
      <c r="B137" s="79">
        <v>77</v>
      </c>
      <c r="C137" s="79">
        <v>2</v>
      </c>
      <c r="D137" s="79">
        <v>12</v>
      </c>
      <c r="E137" s="79">
        <v>3</v>
      </c>
      <c r="F137" s="79">
        <v>2368577.5</v>
      </c>
      <c r="G137" s="79">
        <v>63500000</v>
      </c>
      <c r="H137" s="79">
        <v>6439848.9900000002</v>
      </c>
      <c r="I137" s="79">
        <v>93467467</v>
      </c>
      <c r="J137" s="79">
        <v>0</v>
      </c>
      <c r="K137" s="79">
        <v>1</v>
      </c>
      <c r="L137" s="79">
        <v>6</v>
      </c>
      <c r="M137" s="79">
        <v>14</v>
      </c>
    </row>
    <row r="138" spans="1:13">
      <c r="A138" s="78">
        <v>1113648445</v>
      </c>
      <c r="B138" s="79">
        <v>38</v>
      </c>
      <c r="C138" s="79">
        <v>3</v>
      </c>
      <c r="D138" s="79">
        <v>9</v>
      </c>
      <c r="E138" s="79">
        <v>0</v>
      </c>
      <c r="F138" s="79">
        <v>3690000</v>
      </c>
      <c r="G138" s="79">
        <v>81600000</v>
      </c>
      <c r="H138" s="79">
        <v>0</v>
      </c>
      <c r="I138" s="79">
        <v>50215103</v>
      </c>
      <c r="J138" s="79">
        <v>0</v>
      </c>
      <c r="K138" s="79">
        <v>1</v>
      </c>
      <c r="L138" s="79">
        <v>1</v>
      </c>
      <c r="M138" s="79">
        <v>2</v>
      </c>
    </row>
    <row r="139" spans="1:13">
      <c r="A139" s="78">
        <v>1017139629</v>
      </c>
      <c r="B139" s="79">
        <v>117</v>
      </c>
      <c r="C139" s="79">
        <v>3</v>
      </c>
      <c r="D139" s="79">
        <v>6</v>
      </c>
      <c r="E139" s="79">
        <v>10</v>
      </c>
      <c r="F139" s="79">
        <v>1345000</v>
      </c>
      <c r="G139" s="79">
        <v>5000000</v>
      </c>
      <c r="H139" s="79">
        <v>0</v>
      </c>
      <c r="I139" s="79">
        <v>109441500</v>
      </c>
      <c r="J139" s="79">
        <v>0</v>
      </c>
      <c r="K139" s="79">
        <v>1</v>
      </c>
      <c r="L139" s="79">
        <v>8</v>
      </c>
      <c r="M139" s="79">
        <v>1</v>
      </c>
    </row>
    <row r="140" spans="1:13">
      <c r="A140" s="78">
        <v>37321869</v>
      </c>
      <c r="B140" s="79">
        <v>44</v>
      </c>
      <c r="C140" s="79">
        <v>4</v>
      </c>
      <c r="D140" s="79">
        <v>4</v>
      </c>
      <c r="E140" s="79">
        <v>1</v>
      </c>
      <c r="F140" s="79">
        <v>1288000</v>
      </c>
      <c r="G140" s="79">
        <v>6000000</v>
      </c>
      <c r="H140" s="79">
        <v>0</v>
      </c>
      <c r="I140" s="79">
        <v>37359700</v>
      </c>
      <c r="J140" s="79">
        <v>0</v>
      </c>
      <c r="K140" s="79">
        <v>0</v>
      </c>
      <c r="L140" s="79">
        <v>2</v>
      </c>
      <c r="M140" s="79">
        <v>2</v>
      </c>
    </row>
    <row r="141" spans="1:13">
      <c r="A141" s="78">
        <v>1152187419</v>
      </c>
      <c r="B141" s="79">
        <v>44</v>
      </c>
      <c r="C141" s="79">
        <v>2</v>
      </c>
      <c r="D141" s="79">
        <v>9</v>
      </c>
      <c r="E141" s="79">
        <v>4</v>
      </c>
      <c r="F141" s="79">
        <v>8403000</v>
      </c>
      <c r="G141" s="79">
        <v>41774253.600000001</v>
      </c>
      <c r="H141" s="79">
        <v>10000000</v>
      </c>
      <c r="I141" s="79">
        <v>112448000</v>
      </c>
      <c r="J141" s="79">
        <v>0</v>
      </c>
      <c r="K141" s="79">
        <v>3</v>
      </c>
      <c r="L141" s="79">
        <v>6</v>
      </c>
      <c r="M141" s="79">
        <v>4</v>
      </c>
    </row>
    <row r="142" spans="1:13">
      <c r="A142" s="78">
        <v>1045666213</v>
      </c>
      <c r="B142" s="79">
        <v>26</v>
      </c>
      <c r="C142" s="79">
        <v>4</v>
      </c>
      <c r="D142" s="79">
        <v>2</v>
      </c>
      <c r="E142" s="79">
        <v>6</v>
      </c>
      <c r="F142" s="79">
        <v>1368500</v>
      </c>
      <c r="G142" s="79">
        <v>42400000</v>
      </c>
      <c r="H142" s="79">
        <v>0</v>
      </c>
      <c r="I142" s="79">
        <v>54500000</v>
      </c>
      <c r="J142" s="79">
        <v>0</v>
      </c>
      <c r="K142" s="79">
        <v>2</v>
      </c>
      <c r="L142" s="79">
        <v>0</v>
      </c>
      <c r="M142" s="79">
        <v>2</v>
      </c>
    </row>
    <row r="143" spans="1:13">
      <c r="A143" s="78">
        <v>51793150</v>
      </c>
      <c r="B143" s="79">
        <v>98</v>
      </c>
      <c r="C143" s="79">
        <v>2</v>
      </c>
      <c r="D143" s="79">
        <v>6</v>
      </c>
      <c r="E143" s="79">
        <v>1</v>
      </c>
      <c r="F143" s="79">
        <v>615000</v>
      </c>
      <c r="G143" s="79">
        <v>48000000</v>
      </c>
      <c r="H143" s="79">
        <v>127000000</v>
      </c>
      <c r="I143" s="79">
        <v>0</v>
      </c>
      <c r="J143" s="79">
        <v>0</v>
      </c>
      <c r="K143" s="79">
        <v>0</v>
      </c>
      <c r="L143" s="79">
        <v>2</v>
      </c>
      <c r="M143" s="79">
        <v>1</v>
      </c>
    </row>
    <row r="144" spans="1:13">
      <c r="A144" s="78">
        <v>1031171573</v>
      </c>
      <c r="B144" s="79">
        <v>46</v>
      </c>
      <c r="C144" s="79">
        <v>0</v>
      </c>
      <c r="D144" s="79">
        <v>9</v>
      </c>
      <c r="E144" s="79">
        <v>2</v>
      </c>
      <c r="F144" s="79">
        <v>2645000</v>
      </c>
      <c r="G144" s="79">
        <v>81900000</v>
      </c>
      <c r="H144" s="79">
        <v>15000000</v>
      </c>
      <c r="I144" s="79">
        <v>32685000</v>
      </c>
      <c r="J144" s="79">
        <v>0</v>
      </c>
      <c r="K144" s="79">
        <v>1</v>
      </c>
      <c r="L144" s="79">
        <v>9</v>
      </c>
      <c r="M144" s="79">
        <v>0</v>
      </c>
    </row>
    <row r="145" spans="1:13">
      <c r="A145" s="78">
        <v>1013581339</v>
      </c>
      <c r="B145" s="79">
        <v>48</v>
      </c>
      <c r="C145" s="79">
        <v>0</v>
      </c>
      <c r="D145" s="79">
        <v>3</v>
      </c>
      <c r="E145" s="79">
        <v>3</v>
      </c>
      <c r="F145" s="79">
        <v>3075000</v>
      </c>
      <c r="G145" s="79">
        <v>0</v>
      </c>
      <c r="H145" s="79">
        <v>37000000</v>
      </c>
      <c r="I145" s="79">
        <v>15026764</v>
      </c>
      <c r="J145" s="79">
        <v>0</v>
      </c>
      <c r="K145" s="79">
        <v>0</v>
      </c>
      <c r="L145" s="79">
        <v>1</v>
      </c>
      <c r="M145" s="79">
        <v>0</v>
      </c>
    </row>
    <row r="146" spans="1:13">
      <c r="A146" s="78">
        <v>1012353112</v>
      </c>
      <c r="B146" s="79">
        <v>45</v>
      </c>
      <c r="C146" s="79">
        <v>2</v>
      </c>
      <c r="D146" s="79">
        <v>5</v>
      </c>
      <c r="E146" s="79">
        <v>0</v>
      </c>
      <c r="F146" s="79">
        <v>-311471.75</v>
      </c>
      <c r="G146" s="79">
        <v>6000000</v>
      </c>
      <c r="H146" s="79">
        <v>0</v>
      </c>
      <c r="I146" s="79">
        <v>49489000</v>
      </c>
      <c r="J146" s="79">
        <v>0</v>
      </c>
      <c r="K146" s="79">
        <v>0</v>
      </c>
      <c r="L146" s="79">
        <v>4</v>
      </c>
      <c r="M146" s="79">
        <v>1</v>
      </c>
    </row>
    <row r="147" spans="1:13">
      <c r="A147" s="78">
        <v>1012389944</v>
      </c>
      <c r="B147" s="79">
        <v>94</v>
      </c>
      <c r="C147" s="79">
        <v>5</v>
      </c>
      <c r="D147" s="79">
        <v>10</v>
      </c>
      <c r="E147" s="79">
        <v>0</v>
      </c>
      <c r="F147" s="79">
        <v>1045000</v>
      </c>
      <c r="G147" s="79">
        <v>60000000</v>
      </c>
      <c r="H147" s="79">
        <v>0</v>
      </c>
      <c r="I147" s="79">
        <v>15885758</v>
      </c>
      <c r="J147" s="79">
        <v>0</v>
      </c>
      <c r="K147" s="79">
        <v>0</v>
      </c>
      <c r="L147" s="79">
        <v>4</v>
      </c>
      <c r="M147" s="79">
        <v>3</v>
      </c>
    </row>
    <row r="148" spans="1:13">
      <c r="A148" s="78">
        <v>43187286</v>
      </c>
      <c r="B148" s="79">
        <v>36</v>
      </c>
      <c r="C148" s="79">
        <v>1</v>
      </c>
      <c r="D148" s="79">
        <v>2</v>
      </c>
      <c r="E148" s="79">
        <v>2</v>
      </c>
      <c r="F148" s="79">
        <v>5577500</v>
      </c>
      <c r="G148" s="79">
        <v>89100000</v>
      </c>
      <c r="H148" s="79">
        <v>0</v>
      </c>
      <c r="I148" s="79">
        <v>70466751</v>
      </c>
      <c r="J148" s="79">
        <v>0</v>
      </c>
      <c r="K148" s="79">
        <v>3</v>
      </c>
      <c r="L148" s="79">
        <v>8</v>
      </c>
      <c r="M148" s="79">
        <v>4</v>
      </c>
    </row>
    <row r="149" spans="1:13">
      <c r="A149" s="78">
        <v>1018495960</v>
      </c>
      <c r="B149" s="79">
        <v>82</v>
      </c>
      <c r="C149" s="79">
        <v>5</v>
      </c>
      <c r="D149" s="79">
        <v>13</v>
      </c>
      <c r="E149" s="79">
        <v>4</v>
      </c>
      <c r="F149" s="79">
        <v>5327820</v>
      </c>
      <c r="G149" s="79">
        <v>63207638</v>
      </c>
      <c r="H149" s="79">
        <v>23000000</v>
      </c>
      <c r="I149" s="79">
        <v>39322200</v>
      </c>
      <c r="J149" s="79">
        <v>0</v>
      </c>
      <c r="K149" s="79">
        <v>2</v>
      </c>
      <c r="L149" s="79">
        <v>6</v>
      </c>
      <c r="M149" s="79">
        <v>7</v>
      </c>
    </row>
    <row r="150" spans="1:13">
      <c r="A150" s="78">
        <v>32743416</v>
      </c>
      <c r="B150" s="79">
        <v>67</v>
      </c>
      <c r="C150" s="79">
        <v>6</v>
      </c>
      <c r="D150" s="79">
        <v>11</v>
      </c>
      <c r="E150" s="79">
        <v>4</v>
      </c>
      <c r="F150" s="79">
        <v>6950000</v>
      </c>
      <c r="G150" s="79">
        <v>134400000</v>
      </c>
      <c r="H150" s="79">
        <v>0</v>
      </c>
      <c r="I150" s="79">
        <v>12058000</v>
      </c>
      <c r="J150" s="79">
        <v>0</v>
      </c>
      <c r="K150" s="79">
        <v>5</v>
      </c>
      <c r="L150" s="79">
        <v>7</v>
      </c>
      <c r="M150" s="79">
        <v>7</v>
      </c>
    </row>
    <row r="151" spans="1:13">
      <c r="A151" s="78">
        <v>1030671677</v>
      </c>
      <c r="B151" s="79">
        <v>66</v>
      </c>
      <c r="C151" s="79">
        <v>0</v>
      </c>
      <c r="D151" s="79">
        <v>5</v>
      </c>
      <c r="E151" s="79">
        <v>1</v>
      </c>
      <c r="F151" s="79">
        <v>185000</v>
      </c>
      <c r="G151" s="79">
        <v>0</v>
      </c>
      <c r="H151" s="79">
        <v>0</v>
      </c>
      <c r="I151" s="79">
        <v>9683400</v>
      </c>
      <c r="J151" s="79">
        <v>0</v>
      </c>
      <c r="K151" s="79">
        <v>0</v>
      </c>
      <c r="L151" s="79">
        <v>0</v>
      </c>
      <c r="M151" s="79">
        <v>0</v>
      </c>
    </row>
    <row r="152" spans="1:13">
      <c r="A152" s="78">
        <v>1022361478</v>
      </c>
      <c r="B152" s="79">
        <v>80</v>
      </c>
      <c r="C152" s="79">
        <v>1</v>
      </c>
      <c r="D152" s="79">
        <v>12</v>
      </c>
      <c r="E152" s="79">
        <v>0</v>
      </c>
      <c r="F152" s="79">
        <v>5965000</v>
      </c>
      <c r="G152" s="79">
        <v>30000000</v>
      </c>
      <c r="H152" s="79">
        <v>111500000</v>
      </c>
      <c r="I152" s="79">
        <v>24044690</v>
      </c>
      <c r="J152" s="79">
        <v>0</v>
      </c>
      <c r="K152" s="79">
        <v>0</v>
      </c>
      <c r="L152" s="79">
        <v>8</v>
      </c>
      <c r="M152" s="79">
        <v>15</v>
      </c>
    </row>
    <row r="153" spans="1:13">
      <c r="A153" s="78">
        <v>1121873295</v>
      </c>
      <c r="B153" s="79">
        <v>80</v>
      </c>
      <c r="C153" s="79">
        <v>2</v>
      </c>
      <c r="D153" s="79">
        <v>6</v>
      </c>
      <c r="E153" s="79">
        <v>1</v>
      </c>
      <c r="F153" s="79">
        <v>7505000</v>
      </c>
      <c r="G153" s="79">
        <v>126200000</v>
      </c>
      <c r="H153" s="79">
        <v>0</v>
      </c>
      <c r="I153" s="79">
        <v>71410000</v>
      </c>
      <c r="J153" s="79">
        <v>0</v>
      </c>
      <c r="K153" s="79">
        <v>4</v>
      </c>
      <c r="L153" s="79">
        <v>2</v>
      </c>
      <c r="M153" s="79">
        <v>9</v>
      </c>
    </row>
    <row r="154" spans="1:13">
      <c r="A154" s="78">
        <v>38656544</v>
      </c>
      <c r="B154" s="79">
        <v>58</v>
      </c>
      <c r="C154" s="79">
        <v>1</v>
      </c>
      <c r="D154" s="79">
        <v>5</v>
      </c>
      <c r="E154" s="79">
        <v>0</v>
      </c>
      <c r="F154" s="79">
        <v>10025000</v>
      </c>
      <c r="G154" s="79">
        <v>115000000</v>
      </c>
      <c r="H154" s="79">
        <v>0</v>
      </c>
      <c r="I154" s="79">
        <v>96243338</v>
      </c>
      <c r="J154" s="79">
        <v>0</v>
      </c>
      <c r="K154" s="79">
        <v>3</v>
      </c>
      <c r="L154" s="79">
        <v>4</v>
      </c>
      <c r="M154" s="79">
        <v>6</v>
      </c>
    </row>
    <row r="155" spans="1:13">
      <c r="A155" s="78">
        <v>43636947</v>
      </c>
      <c r="B155" s="79">
        <v>26</v>
      </c>
      <c r="C155" s="79">
        <v>1</v>
      </c>
      <c r="D155" s="79">
        <v>8</v>
      </c>
      <c r="E155" s="79">
        <v>3</v>
      </c>
      <c r="F155" s="79">
        <v>1230000</v>
      </c>
      <c r="G155" s="79">
        <v>35000000</v>
      </c>
      <c r="H155" s="79">
        <v>0</v>
      </c>
      <c r="I155" s="79">
        <v>66806000</v>
      </c>
      <c r="J155" s="79">
        <v>0</v>
      </c>
      <c r="K155" s="79">
        <v>0</v>
      </c>
      <c r="L155" s="79">
        <v>3</v>
      </c>
      <c r="M155" s="79">
        <v>0</v>
      </c>
    </row>
    <row r="156" spans="1:13">
      <c r="A156" s="78">
        <v>53053512</v>
      </c>
      <c r="B156" s="79">
        <v>0</v>
      </c>
      <c r="C156" s="79">
        <v>0</v>
      </c>
      <c r="D156" s="79">
        <v>0</v>
      </c>
      <c r="E156" s="79">
        <v>0</v>
      </c>
      <c r="F156" s="79">
        <v>0</v>
      </c>
      <c r="G156" s="79">
        <v>-9300000</v>
      </c>
      <c r="H156" s="79">
        <v>0</v>
      </c>
      <c r="I156" s="79">
        <v>1883550</v>
      </c>
      <c r="J156" s="79">
        <v>0</v>
      </c>
      <c r="K156" s="79">
        <v>0</v>
      </c>
      <c r="L156" s="79">
        <v>1</v>
      </c>
      <c r="M156" s="79">
        <v>0</v>
      </c>
    </row>
    <row r="157" spans="1:13">
      <c r="A157" s="78">
        <v>1031165003</v>
      </c>
      <c r="B157" s="79">
        <v>51</v>
      </c>
      <c r="C157" s="79">
        <v>3</v>
      </c>
      <c r="D157" s="79">
        <v>5</v>
      </c>
      <c r="E157" s="79">
        <v>4</v>
      </c>
      <c r="F157" s="79">
        <v>985524</v>
      </c>
      <c r="G157" s="79">
        <v>9200000</v>
      </c>
      <c r="H157" s="79">
        <v>0</v>
      </c>
      <c r="I157" s="79">
        <v>54585278</v>
      </c>
      <c r="J157" s="79">
        <v>0</v>
      </c>
      <c r="K157" s="79">
        <v>0</v>
      </c>
      <c r="L157" s="79">
        <v>2</v>
      </c>
      <c r="M157" s="79">
        <v>1</v>
      </c>
    </row>
    <row r="158" spans="1:13">
      <c r="A158" s="78">
        <v>32728324</v>
      </c>
      <c r="B158" s="79">
        <v>218</v>
      </c>
      <c r="C158" s="79">
        <v>0</v>
      </c>
      <c r="D158" s="79">
        <v>12</v>
      </c>
      <c r="E158" s="79">
        <v>1</v>
      </c>
      <c r="F158" s="79">
        <v>3260000</v>
      </c>
      <c r="G158" s="79">
        <v>47600000</v>
      </c>
      <c r="H158" s="79">
        <v>0</v>
      </c>
      <c r="I158" s="79">
        <v>19962000</v>
      </c>
      <c r="J158" s="79">
        <v>0</v>
      </c>
      <c r="K158" s="79">
        <v>4</v>
      </c>
      <c r="L158" s="79">
        <v>11</v>
      </c>
      <c r="M158" s="79">
        <v>6</v>
      </c>
    </row>
    <row r="159" spans="1:13">
      <c r="A159" s="78">
        <v>1019078302</v>
      </c>
      <c r="B159" s="79">
        <v>42</v>
      </c>
      <c r="C159" s="79">
        <v>3</v>
      </c>
      <c r="D159" s="79">
        <v>11</v>
      </c>
      <c r="E159" s="79">
        <v>5</v>
      </c>
      <c r="F159" s="79">
        <v>3690000</v>
      </c>
      <c r="G159" s="79">
        <v>67500000</v>
      </c>
      <c r="H159" s="79">
        <v>77000000</v>
      </c>
      <c r="I159" s="79">
        <v>58063330</v>
      </c>
      <c r="J159" s="79">
        <v>0</v>
      </c>
      <c r="K159" s="79">
        <v>0</v>
      </c>
      <c r="L159" s="79">
        <v>0</v>
      </c>
      <c r="M159" s="79">
        <v>0</v>
      </c>
    </row>
    <row r="160" spans="1:13">
      <c r="A160" s="78">
        <v>1053814651</v>
      </c>
      <c r="B160" s="79">
        <v>74</v>
      </c>
      <c r="C160" s="79">
        <v>2</v>
      </c>
      <c r="D160" s="79">
        <v>17</v>
      </c>
      <c r="E160" s="79">
        <v>5</v>
      </c>
      <c r="F160" s="79">
        <v>9655000</v>
      </c>
      <c r="G160" s="79">
        <v>78542000</v>
      </c>
      <c r="H160" s="79">
        <v>37100000</v>
      </c>
      <c r="I160" s="79">
        <v>93418670</v>
      </c>
      <c r="J160" s="79">
        <v>0</v>
      </c>
      <c r="K160" s="79">
        <v>9</v>
      </c>
      <c r="L160" s="79">
        <v>13</v>
      </c>
      <c r="M160" s="79">
        <v>13</v>
      </c>
    </row>
    <row r="161" spans="1:13">
      <c r="A161" s="78">
        <v>1000774106</v>
      </c>
      <c r="B161" s="79">
        <v>77</v>
      </c>
      <c r="C161" s="79">
        <v>5</v>
      </c>
      <c r="D161" s="79">
        <v>8</v>
      </c>
      <c r="E161" s="79">
        <v>2</v>
      </c>
      <c r="F161" s="79">
        <v>7125888.666666667</v>
      </c>
      <c r="G161" s="79">
        <v>82200000</v>
      </c>
      <c r="H161" s="79">
        <v>0</v>
      </c>
      <c r="I161" s="79">
        <v>51316423</v>
      </c>
      <c r="J161" s="79">
        <v>0</v>
      </c>
      <c r="K161" s="79">
        <v>6</v>
      </c>
      <c r="L161" s="79">
        <v>18</v>
      </c>
      <c r="M161" s="79">
        <v>5</v>
      </c>
    </row>
    <row r="162" spans="1:13">
      <c r="A162" s="78">
        <v>31031818</v>
      </c>
      <c r="B162" s="79">
        <v>96</v>
      </c>
      <c r="C162" s="79">
        <v>2</v>
      </c>
      <c r="D162" s="79">
        <v>4</v>
      </c>
      <c r="E162" s="79">
        <v>1</v>
      </c>
      <c r="F162" s="79">
        <v>3875000</v>
      </c>
      <c r="G162" s="79">
        <v>127000000</v>
      </c>
      <c r="H162" s="79">
        <v>0</v>
      </c>
      <c r="I162" s="79">
        <v>0</v>
      </c>
      <c r="J162" s="79">
        <v>0</v>
      </c>
      <c r="K162" s="79">
        <v>3</v>
      </c>
      <c r="L162" s="79">
        <v>4</v>
      </c>
      <c r="M162" s="79">
        <v>4</v>
      </c>
    </row>
    <row r="163" spans="1:13">
      <c r="A163" s="78">
        <v>1023012625</v>
      </c>
      <c r="B163" s="79">
        <v>82</v>
      </c>
      <c r="C163" s="79">
        <v>5</v>
      </c>
      <c r="D163" s="79">
        <v>6</v>
      </c>
      <c r="E163" s="79">
        <v>1</v>
      </c>
      <c r="F163" s="79">
        <v>683058.16666666651</v>
      </c>
      <c r="G163" s="79">
        <v>43900000</v>
      </c>
      <c r="H163" s="79">
        <v>18000000</v>
      </c>
      <c r="I163" s="79">
        <v>51297520</v>
      </c>
      <c r="J163" s="79">
        <v>0</v>
      </c>
      <c r="K163" s="79">
        <v>5</v>
      </c>
      <c r="L163" s="79">
        <v>4</v>
      </c>
      <c r="M163" s="79">
        <v>8</v>
      </c>
    </row>
    <row r="164" spans="1:13">
      <c r="A164" s="78">
        <v>1030538055</v>
      </c>
      <c r="B164" s="79">
        <v>27</v>
      </c>
      <c r="C164" s="79">
        <v>1</v>
      </c>
      <c r="D164" s="79">
        <v>3</v>
      </c>
      <c r="E164" s="79">
        <v>1</v>
      </c>
      <c r="F164" s="79">
        <v>1584892.6666666667</v>
      </c>
      <c r="G164" s="79">
        <v>2700000</v>
      </c>
      <c r="H164" s="79">
        <v>0</v>
      </c>
      <c r="I164" s="79">
        <v>4449283</v>
      </c>
      <c r="J164" s="79">
        <v>0</v>
      </c>
      <c r="K164" s="79">
        <v>0</v>
      </c>
      <c r="L164" s="79">
        <v>3</v>
      </c>
      <c r="M164" s="79">
        <v>0</v>
      </c>
    </row>
    <row r="165" spans="1:13">
      <c r="A165" s="78">
        <v>52919443</v>
      </c>
      <c r="B165" s="79">
        <v>29</v>
      </c>
      <c r="C165" s="79">
        <v>2</v>
      </c>
      <c r="D165" s="79">
        <v>12</v>
      </c>
      <c r="E165" s="79">
        <v>3</v>
      </c>
      <c r="F165" s="79">
        <v>205000</v>
      </c>
      <c r="G165" s="79">
        <v>75000000</v>
      </c>
      <c r="H165" s="79">
        <v>21000000</v>
      </c>
      <c r="I165" s="79">
        <v>45659742</v>
      </c>
      <c r="J165" s="79">
        <v>0</v>
      </c>
      <c r="K165" s="79">
        <v>1</v>
      </c>
      <c r="L165" s="79">
        <v>12</v>
      </c>
      <c r="M165" s="79">
        <v>3</v>
      </c>
    </row>
    <row r="166" spans="1:13">
      <c r="A166" s="78">
        <v>1072654011</v>
      </c>
      <c r="B166" s="79">
        <v>49</v>
      </c>
      <c r="C166" s="79">
        <v>4</v>
      </c>
      <c r="D166" s="79">
        <v>11</v>
      </c>
      <c r="E166" s="79">
        <v>0</v>
      </c>
      <c r="F166" s="79">
        <v>2460000</v>
      </c>
      <c r="G166" s="79">
        <v>164000000</v>
      </c>
      <c r="H166" s="79">
        <v>5000000</v>
      </c>
      <c r="I166" s="79">
        <v>18197186</v>
      </c>
      <c r="J166" s="79">
        <v>0</v>
      </c>
      <c r="K166" s="79">
        <v>1</v>
      </c>
      <c r="L166" s="79">
        <v>1</v>
      </c>
      <c r="M166" s="79">
        <v>0</v>
      </c>
    </row>
    <row r="167" spans="1:13">
      <c r="A167" s="78">
        <v>1045737784</v>
      </c>
      <c r="B167" s="79">
        <v>79</v>
      </c>
      <c r="C167" s="79">
        <v>3</v>
      </c>
      <c r="D167" s="79">
        <v>6</v>
      </c>
      <c r="E167" s="79">
        <v>0</v>
      </c>
      <c r="F167" s="79">
        <v>1415000</v>
      </c>
      <c r="G167" s="79">
        <v>15000000</v>
      </c>
      <c r="H167" s="79">
        <v>0</v>
      </c>
      <c r="I167" s="79">
        <v>25734000</v>
      </c>
      <c r="J167" s="79">
        <v>0</v>
      </c>
      <c r="K167" s="79">
        <v>2</v>
      </c>
      <c r="L167" s="79">
        <v>2</v>
      </c>
      <c r="M167" s="79">
        <v>2</v>
      </c>
    </row>
    <row r="168" spans="1:13">
      <c r="A168" s="78">
        <v>1192736011</v>
      </c>
      <c r="B168" s="79">
        <v>45</v>
      </c>
      <c r="C168" s="79">
        <v>1</v>
      </c>
      <c r="D168" s="79">
        <v>15</v>
      </c>
      <c r="E168" s="79">
        <v>4</v>
      </c>
      <c r="F168" s="79">
        <v>13748136</v>
      </c>
      <c r="G168" s="79">
        <v>112400000</v>
      </c>
      <c r="H168" s="79">
        <v>24000000</v>
      </c>
      <c r="I168" s="79">
        <v>85443000</v>
      </c>
      <c r="J168" s="79">
        <v>0</v>
      </c>
      <c r="K168" s="79">
        <v>4</v>
      </c>
      <c r="L168" s="79">
        <v>7</v>
      </c>
      <c r="M168" s="79">
        <v>3</v>
      </c>
    </row>
    <row r="169" spans="1:13">
      <c r="A169" s="78">
        <v>1049624001</v>
      </c>
      <c r="B169" s="79">
        <v>43</v>
      </c>
      <c r="C169" s="79">
        <v>1</v>
      </c>
      <c r="D169" s="79">
        <v>1</v>
      </c>
      <c r="E169" s="79">
        <v>4</v>
      </c>
      <c r="F169" s="79">
        <v>10025000</v>
      </c>
      <c r="G169" s="79">
        <v>93500000</v>
      </c>
      <c r="H169" s="79">
        <v>0</v>
      </c>
      <c r="I169" s="79">
        <v>49116891</v>
      </c>
      <c r="J169" s="79">
        <v>0</v>
      </c>
      <c r="K169" s="79">
        <v>3</v>
      </c>
      <c r="L169" s="79">
        <v>3</v>
      </c>
      <c r="M169" s="79">
        <v>3</v>
      </c>
    </row>
    <row r="170" spans="1:13">
      <c r="A170" s="78">
        <v>1067855981</v>
      </c>
      <c r="B170" s="79">
        <v>64</v>
      </c>
      <c r="C170" s="79">
        <v>1</v>
      </c>
      <c r="D170" s="79">
        <v>12</v>
      </c>
      <c r="E170" s="79">
        <v>1</v>
      </c>
      <c r="F170" s="79">
        <v>6410430.166666667</v>
      </c>
      <c r="G170" s="79">
        <v>77100000</v>
      </c>
      <c r="H170" s="79">
        <v>0</v>
      </c>
      <c r="I170" s="79">
        <v>24938075</v>
      </c>
      <c r="J170" s="79">
        <v>0</v>
      </c>
      <c r="K170" s="79">
        <v>1</v>
      </c>
      <c r="L170" s="79">
        <v>5</v>
      </c>
      <c r="M170" s="79">
        <v>6</v>
      </c>
    </row>
    <row r="171" spans="1:13">
      <c r="A171" s="78">
        <v>34325898</v>
      </c>
      <c r="B171" s="79">
        <v>104</v>
      </c>
      <c r="C171" s="79">
        <v>2</v>
      </c>
      <c r="D171" s="79">
        <v>6</v>
      </c>
      <c r="E171" s="79">
        <v>0</v>
      </c>
      <c r="F171" s="79">
        <v>3445000</v>
      </c>
      <c r="G171" s="79">
        <v>86750000</v>
      </c>
      <c r="H171" s="79">
        <v>0</v>
      </c>
      <c r="I171" s="79">
        <v>47410203</v>
      </c>
      <c r="J171" s="79">
        <v>0</v>
      </c>
      <c r="K171" s="79">
        <v>2</v>
      </c>
      <c r="L171" s="79">
        <v>5</v>
      </c>
      <c r="M171" s="79">
        <v>4</v>
      </c>
    </row>
    <row r="172" spans="1:13">
      <c r="A172" s="78">
        <v>1110588149</v>
      </c>
      <c r="B172" s="79">
        <v>135</v>
      </c>
      <c r="C172" s="79">
        <v>8</v>
      </c>
      <c r="D172" s="79">
        <v>6</v>
      </c>
      <c r="E172" s="79">
        <v>2</v>
      </c>
      <c r="F172" s="79">
        <v>6598000</v>
      </c>
      <c r="G172" s="79">
        <v>66200000</v>
      </c>
      <c r="H172" s="79">
        <v>76300000</v>
      </c>
      <c r="I172" s="79">
        <v>21071000</v>
      </c>
      <c r="J172" s="79">
        <v>0</v>
      </c>
      <c r="K172" s="79">
        <v>3</v>
      </c>
      <c r="L172" s="79">
        <v>7</v>
      </c>
      <c r="M172" s="79">
        <v>4</v>
      </c>
    </row>
    <row r="173" spans="1:13">
      <c r="A173" s="78">
        <v>1022414613</v>
      </c>
      <c r="B173" s="79">
        <v>36</v>
      </c>
      <c r="C173" s="79">
        <v>2</v>
      </c>
      <c r="D173" s="79">
        <v>0</v>
      </c>
      <c r="E173" s="79">
        <v>1</v>
      </c>
      <c r="F173" s="79">
        <v>0</v>
      </c>
      <c r="G173" s="79">
        <v>20000000</v>
      </c>
      <c r="H173" s="79">
        <v>0</v>
      </c>
      <c r="I173" s="79">
        <v>12516000</v>
      </c>
      <c r="J173" s="79">
        <v>0</v>
      </c>
      <c r="K173" s="79">
        <v>1</v>
      </c>
      <c r="L173" s="79">
        <v>0</v>
      </c>
      <c r="M173" s="79">
        <v>0</v>
      </c>
    </row>
    <row r="174" spans="1:13">
      <c r="A174" s="78">
        <v>52218341</v>
      </c>
      <c r="B174" s="79">
        <v>41</v>
      </c>
      <c r="C174" s="79">
        <v>2</v>
      </c>
      <c r="D174" s="79">
        <v>12</v>
      </c>
      <c r="E174" s="79">
        <v>5</v>
      </c>
      <c r="F174" s="79">
        <v>1628013.75</v>
      </c>
      <c r="G174" s="79">
        <v>111100000</v>
      </c>
      <c r="H174" s="79">
        <v>33000000</v>
      </c>
      <c r="I174" s="79">
        <v>113366000</v>
      </c>
      <c r="J174" s="79">
        <v>0</v>
      </c>
      <c r="K174" s="79">
        <v>2</v>
      </c>
      <c r="L174" s="79">
        <v>5</v>
      </c>
      <c r="M174" s="79">
        <v>5</v>
      </c>
    </row>
    <row r="175" spans="1:13">
      <c r="A175" s="78">
        <v>1030633656</v>
      </c>
      <c r="B175" s="79">
        <v>84</v>
      </c>
      <c r="C175" s="79">
        <v>2</v>
      </c>
      <c r="D175" s="79">
        <v>5</v>
      </c>
      <c r="E175" s="79">
        <v>1</v>
      </c>
      <c r="F175" s="79">
        <v>0</v>
      </c>
      <c r="G175" s="79">
        <v>0</v>
      </c>
      <c r="H175" s="79">
        <v>65500000</v>
      </c>
      <c r="I175" s="79">
        <v>43253292</v>
      </c>
      <c r="J175" s="79">
        <v>0</v>
      </c>
      <c r="K175" s="79">
        <v>1</v>
      </c>
      <c r="L175" s="79">
        <v>9</v>
      </c>
      <c r="M175" s="79">
        <v>3</v>
      </c>
    </row>
    <row r="176" spans="1:13">
      <c r="A176" s="78">
        <v>1067888710</v>
      </c>
      <c r="B176" s="79">
        <v>102</v>
      </c>
      <c r="C176" s="79">
        <v>2</v>
      </c>
      <c r="D176" s="79">
        <v>15</v>
      </c>
      <c r="E176" s="79">
        <v>0</v>
      </c>
      <c r="F176" s="79">
        <v>615000</v>
      </c>
      <c r="G176" s="79">
        <v>11000000</v>
      </c>
      <c r="H176" s="79">
        <v>0</v>
      </c>
      <c r="I176" s="79">
        <v>27428700</v>
      </c>
      <c r="J176" s="79">
        <v>0</v>
      </c>
      <c r="K176" s="79">
        <v>3</v>
      </c>
      <c r="L176" s="79">
        <v>9</v>
      </c>
      <c r="M176" s="79">
        <v>15</v>
      </c>
    </row>
    <row r="177" spans="1:13">
      <c r="A177" s="78">
        <v>1033686889</v>
      </c>
      <c r="B177" s="79">
        <v>45</v>
      </c>
      <c r="C177" s="79">
        <v>6</v>
      </c>
      <c r="D177" s="79">
        <v>9</v>
      </c>
      <c r="E177" s="79">
        <v>13</v>
      </c>
      <c r="F177" s="79">
        <v>7542775.833333333</v>
      </c>
      <c r="G177" s="79">
        <v>32400000</v>
      </c>
      <c r="H177" s="79">
        <v>207668105.23000002</v>
      </c>
      <c r="I177" s="79">
        <v>49032417</v>
      </c>
      <c r="J177" s="79">
        <v>0</v>
      </c>
      <c r="K177" s="79">
        <v>7</v>
      </c>
      <c r="L177" s="79">
        <v>17</v>
      </c>
      <c r="M177" s="79">
        <v>16</v>
      </c>
    </row>
    <row r="178" spans="1:13">
      <c r="A178" s="78">
        <v>52760661</v>
      </c>
      <c r="B178" s="79">
        <v>24</v>
      </c>
      <c r="C178" s="79">
        <v>0</v>
      </c>
      <c r="D178" s="79">
        <v>6</v>
      </c>
      <c r="E178" s="79">
        <v>2</v>
      </c>
      <c r="F178" s="79">
        <v>3736290</v>
      </c>
      <c r="G178" s="79">
        <v>11000000</v>
      </c>
      <c r="H178" s="79">
        <v>5178664.16</v>
      </c>
      <c r="I178" s="79">
        <v>9082039</v>
      </c>
      <c r="J178" s="79">
        <v>0</v>
      </c>
      <c r="K178" s="79">
        <v>3</v>
      </c>
      <c r="L178" s="79">
        <v>8</v>
      </c>
      <c r="M178" s="79">
        <v>8</v>
      </c>
    </row>
    <row r="179" spans="1:13">
      <c r="A179" s="78">
        <v>1110546371</v>
      </c>
      <c r="B179" s="79">
        <v>61</v>
      </c>
      <c r="C179" s="79">
        <v>4</v>
      </c>
      <c r="D179" s="79">
        <v>4</v>
      </c>
      <c r="E179" s="79">
        <v>0</v>
      </c>
      <c r="F179" s="79">
        <v>5350000</v>
      </c>
      <c r="G179" s="79">
        <v>75500000</v>
      </c>
      <c r="H179" s="79">
        <v>50800000</v>
      </c>
      <c r="I179" s="79">
        <v>62360000</v>
      </c>
      <c r="J179" s="79">
        <v>0</v>
      </c>
      <c r="K179" s="79">
        <v>3</v>
      </c>
      <c r="L179" s="79">
        <v>4</v>
      </c>
      <c r="M179" s="79">
        <v>3</v>
      </c>
    </row>
    <row r="180" spans="1:13">
      <c r="A180" s="78">
        <v>37547801</v>
      </c>
      <c r="B180" s="79">
        <v>65</v>
      </c>
      <c r="C180" s="79">
        <v>2</v>
      </c>
      <c r="D180" s="79">
        <v>8</v>
      </c>
      <c r="E180" s="79">
        <v>3</v>
      </c>
      <c r="F180" s="79">
        <v>3505000</v>
      </c>
      <c r="G180" s="79">
        <v>10200000</v>
      </c>
      <c r="H180" s="79">
        <v>0</v>
      </c>
      <c r="I180" s="79">
        <v>36049920</v>
      </c>
      <c r="J180" s="79">
        <v>0</v>
      </c>
      <c r="K180" s="79">
        <v>2</v>
      </c>
      <c r="L180" s="79">
        <v>11</v>
      </c>
      <c r="M180" s="79">
        <v>5</v>
      </c>
    </row>
    <row r="181" spans="1:13">
      <c r="A181" s="78">
        <v>52932545</v>
      </c>
      <c r="B181" s="79">
        <v>114</v>
      </c>
      <c r="C181" s="79">
        <v>4</v>
      </c>
      <c r="D181" s="79">
        <v>6</v>
      </c>
      <c r="E181" s="79">
        <v>1</v>
      </c>
      <c r="F181" s="79">
        <v>8628000</v>
      </c>
      <c r="G181" s="79">
        <v>86000000</v>
      </c>
      <c r="H181" s="79">
        <v>0</v>
      </c>
      <c r="I181" s="79">
        <v>56637222</v>
      </c>
      <c r="J181" s="79">
        <v>0</v>
      </c>
      <c r="K181" s="79">
        <v>2</v>
      </c>
      <c r="L181" s="79">
        <v>9</v>
      </c>
      <c r="M181" s="79">
        <v>5</v>
      </c>
    </row>
    <row r="182" spans="1:13">
      <c r="A182" s="78">
        <v>1019072823</v>
      </c>
      <c r="B182" s="79">
        <v>0</v>
      </c>
      <c r="C182" s="79">
        <v>1</v>
      </c>
      <c r="D182" s="79">
        <v>2</v>
      </c>
      <c r="E182" s="79">
        <v>0</v>
      </c>
      <c r="F182" s="79">
        <v>0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 s="79">
        <v>0</v>
      </c>
      <c r="M182" s="79">
        <v>0</v>
      </c>
    </row>
    <row r="183" spans="1:13">
      <c r="A183" s="78">
        <v>1039447320</v>
      </c>
      <c r="B183" s="79">
        <v>52</v>
      </c>
      <c r="C183" s="79">
        <v>3</v>
      </c>
      <c r="D183" s="79">
        <v>5</v>
      </c>
      <c r="E183" s="79">
        <v>5</v>
      </c>
      <c r="F183" s="79">
        <v>8720698.666666666</v>
      </c>
      <c r="G183" s="79">
        <v>122100000</v>
      </c>
      <c r="H183" s="79">
        <v>0</v>
      </c>
      <c r="I183" s="79">
        <v>68339856</v>
      </c>
      <c r="J183" s="79">
        <v>0</v>
      </c>
      <c r="K183" s="79">
        <v>5</v>
      </c>
      <c r="L183" s="79">
        <v>16</v>
      </c>
      <c r="M183" s="79">
        <v>10</v>
      </c>
    </row>
    <row r="184" spans="1:13">
      <c r="A184" s="78">
        <v>1037632050</v>
      </c>
      <c r="B184" s="79">
        <v>43</v>
      </c>
      <c r="C184" s="79">
        <v>2</v>
      </c>
      <c r="D184" s="79">
        <v>12</v>
      </c>
      <c r="E184" s="79">
        <v>5</v>
      </c>
      <c r="F184" s="79">
        <v>9840000</v>
      </c>
      <c r="G184" s="79">
        <v>142000000</v>
      </c>
      <c r="H184" s="79">
        <v>50000000</v>
      </c>
      <c r="I184" s="79">
        <v>45650455</v>
      </c>
      <c r="J184" s="79">
        <v>0</v>
      </c>
      <c r="K184" s="79">
        <v>4</v>
      </c>
      <c r="L184" s="79">
        <v>9</v>
      </c>
      <c r="M184" s="79">
        <v>9</v>
      </c>
    </row>
    <row r="185" spans="1:13">
      <c r="A185" s="78">
        <v>1020441734</v>
      </c>
      <c r="B185" s="79">
        <v>27</v>
      </c>
      <c r="C185" s="79">
        <v>1</v>
      </c>
      <c r="D185" s="79">
        <v>3</v>
      </c>
      <c r="E185" s="79">
        <v>1</v>
      </c>
      <c r="F185" s="79">
        <v>3690000</v>
      </c>
      <c r="G185" s="79">
        <v>158400000</v>
      </c>
      <c r="H185" s="79">
        <v>10000000</v>
      </c>
      <c r="I185" s="79">
        <v>137406000</v>
      </c>
      <c r="J185" s="79">
        <v>31592000</v>
      </c>
      <c r="K185" s="79">
        <v>1</v>
      </c>
      <c r="L185" s="79">
        <v>3</v>
      </c>
      <c r="M185" s="79">
        <v>1</v>
      </c>
    </row>
    <row r="186" spans="1:13">
      <c r="A186" s="78">
        <v>5824284</v>
      </c>
      <c r="B186" s="79">
        <v>93</v>
      </c>
      <c r="C186" s="79">
        <v>5</v>
      </c>
      <c r="D186" s="79">
        <v>5</v>
      </c>
      <c r="E186" s="79">
        <v>2</v>
      </c>
      <c r="F186" s="79">
        <v>3690000</v>
      </c>
      <c r="G186" s="79">
        <v>88850000</v>
      </c>
      <c r="H186" s="79">
        <v>0</v>
      </c>
      <c r="I186" s="79">
        <v>46650093</v>
      </c>
      <c r="J186" s="79">
        <v>0</v>
      </c>
      <c r="K186" s="79">
        <v>6</v>
      </c>
      <c r="L186" s="79">
        <v>6</v>
      </c>
      <c r="M186" s="79">
        <v>7</v>
      </c>
    </row>
    <row r="187" spans="1:13">
      <c r="A187" s="78">
        <v>1128473381</v>
      </c>
      <c r="B187" s="79">
        <v>20</v>
      </c>
      <c r="C187" s="79">
        <v>0</v>
      </c>
      <c r="D187" s="79">
        <v>8</v>
      </c>
      <c r="E187" s="79">
        <v>5</v>
      </c>
      <c r="F187" s="79">
        <v>3133000</v>
      </c>
      <c r="G187" s="79">
        <v>23300000</v>
      </c>
      <c r="H187" s="79">
        <v>0</v>
      </c>
      <c r="I187" s="79">
        <v>222157500</v>
      </c>
      <c r="J187" s="79">
        <v>0</v>
      </c>
      <c r="K187" s="79">
        <v>4</v>
      </c>
      <c r="L187" s="79">
        <v>5</v>
      </c>
      <c r="M187" s="79">
        <v>4</v>
      </c>
    </row>
    <row r="188" spans="1:13">
      <c r="A188" s="78">
        <v>1033756294</v>
      </c>
      <c r="B188" s="79">
        <v>53</v>
      </c>
      <c r="C188" s="79">
        <v>1</v>
      </c>
      <c r="D188" s="79">
        <v>12</v>
      </c>
      <c r="E188" s="79">
        <v>4</v>
      </c>
      <c r="F188" s="79">
        <v>9655000</v>
      </c>
      <c r="G188" s="79">
        <v>32451768.449999996</v>
      </c>
      <c r="H188" s="79">
        <v>0</v>
      </c>
      <c r="I188" s="79">
        <v>18482000</v>
      </c>
      <c r="J188" s="79">
        <v>0</v>
      </c>
      <c r="K188" s="79">
        <v>5</v>
      </c>
      <c r="L188" s="79">
        <v>21</v>
      </c>
      <c r="M188" s="79">
        <v>10</v>
      </c>
    </row>
    <row r="189" spans="1:13">
      <c r="A189" s="78">
        <v>1044423436</v>
      </c>
      <c r="B189" s="79">
        <v>35</v>
      </c>
      <c r="C189" s="79">
        <v>0</v>
      </c>
      <c r="D189" s="79">
        <v>8</v>
      </c>
      <c r="E189" s="79">
        <v>6</v>
      </c>
      <c r="F189" s="79">
        <v>3757566.8333333335</v>
      </c>
      <c r="G189" s="79">
        <v>70900000</v>
      </c>
      <c r="H189" s="79">
        <v>0</v>
      </c>
      <c r="I189" s="79">
        <v>91873922</v>
      </c>
      <c r="J189" s="79">
        <v>0</v>
      </c>
      <c r="K189" s="79">
        <v>3</v>
      </c>
      <c r="L189" s="79">
        <v>10</v>
      </c>
      <c r="M189" s="79">
        <v>8</v>
      </c>
    </row>
    <row r="190" spans="1:13">
      <c r="A190" s="78">
        <v>1098310948</v>
      </c>
      <c r="B190" s="79">
        <v>118</v>
      </c>
      <c r="C190" s="79">
        <v>4</v>
      </c>
      <c r="D190" s="79">
        <v>11</v>
      </c>
      <c r="E190" s="79">
        <v>4</v>
      </c>
      <c r="F190" s="79">
        <v>6528613</v>
      </c>
      <c r="G190" s="79">
        <v>82977361.590000004</v>
      </c>
      <c r="H190" s="79">
        <v>12000000</v>
      </c>
      <c r="I190" s="79">
        <v>174848408</v>
      </c>
      <c r="J190" s="79">
        <v>0</v>
      </c>
      <c r="K190" s="79">
        <v>5</v>
      </c>
      <c r="L190" s="79">
        <v>5</v>
      </c>
      <c r="M190" s="79">
        <v>6</v>
      </c>
    </row>
    <row r="191" spans="1:13">
      <c r="A191" s="78">
        <v>28559553</v>
      </c>
      <c r="B191" s="79">
        <v>0</v>
      </c>
      <c r="C191" s="79">
        <v>0</v>
      </c>
      <c r="D191" s="79">
        <v>0</v>
      </c>
      <c r="E191" s="79">
        <v>0</v>
      </c>
      <c r="F191" s="79">
        <v>0</v>
      </c>
      <c r="G191" s="79">
        <v>0</v>
      </c>
      <c r="H191" s="79">
        <v>0</v>
      </c>
      <c r="I191" s="79">
        <v>0</v>
      </c>
      <c r="J191" s="79">
        <v>0</v>
      </c>
      <c r="K191" s="79">
        <v>0</v>
      </c>
      <c r="L191" s="79">
        <v>0</v>
      </c>
      <c r="M191" s="79">
        <v>0</v>
      </c>
    </row>
    <row r="192" spans="1:13">
      <c r="A192" s="78">
        <v>1088318521</v>
      </c>
      <c r="B192" s="79">
        <v>78</v>
      </c>
      <c r="C192" s="79">
        <v>6</v>
      </c>
      <c r="D192" s="79">
        <v>14</v>
      </c>
      <c r="E192" s="79">
        <v>8</v>
      </c>
      <c r="F192" s="79">
        <v>11313000</v>
      </c>
      <c r="G192" s="79">
        <v>77000000</v>
      </c>
      <c r="H192" s="79">
        <v>0</v>
      </c>
      <c r="I192" s="79">
        <v>62560000</v>
      </c>
      <c r="J192" s="79">
        <v>0</v>
      </c>
      <c r="K192" s="79">
        <v>7</v>
      </c>
      <c r="L192" s="79">
        <v>12</v>
      </c>
      <c r="M192" s="79">
        <v>11</v>
      </c>
    </row>
    <row r="193" spans="1:13">
      <c r="A193" s="78">
        <v>1012412351</v>
      </c>
      <c r="B193" s="79">
        <v>55</v>
      </c>
      <c r="C193" s="79">
        <v>2</v>
      </c>
      <c r="D193" s="79">
        <v>12</v>
      </c>
      <c r="E193" s="79">
        <v>2</v>
      </c>
      <c r="F193" s="79">
        <v>7380000</v>
      </c>
      <c r="G193" s="79">
        <v>56325384.420000002</v>
      </c>
      <c r="H193" s="79">
        <v>0</v>
      </c>
      <c r="I193" s="79">
        <v>75817653</v>
      </c>
      <c r="J193" s="79">
        <v>0</v>
      </c>
      <c r="K193" s="79">
        <v>4</v>
      </c>
      <c r="L193" s="79">
        <v>6</v>
      </c>
      <c r="M193" s="79">
        <v>13</v>
      </c>
    </row>
    <row r="194" spans="1:13">
      <c r="A194" s="78">
        <v>94516890</v>
      </c>
      <c r="B194" s="79">
        <v>50</v>
      </c>
      <c r="C194" s="79">
        <v>1</v>
      </c>
      <c r="D194" s="79">
        <v>6</v>
      </c>
      <c r="E194" s="79">
        <v>0</v>
      </c>
      <c r="F194" s="79">
        <v>1845000</v>
      </c>
      <c r="G194" s="79">
        <v>43600000</v>
      </c>
      <c r="H194" s="79">
        <v>0</v>
      </c>
      <c r="I194" s="79">
        <v>41403496</v>
      </c>
      <c r="J194" s="79">
        <v>0</v>
      </c>
      <c r="K194" s="79">
        <v>3</v>
      </c>
      <c r="L194" s="79">
        <v>3</v>
      </c>
      <c r="M194" s="79">
        <v>3</v>
      </c>
    </row>
    <row r="195" spans="1:13">
      <c r="A195" s="78">
        <v>36313483</v>
      </c>
      <c r="B195" s="79">
        <v>0</v>
      </c>
      <c r="C195" s="79">
        <v>0</v>
      </c>
      <c r="D195" s="79">
        <v>0</v>
      </c>
      <c r="E195" s="79">
        <v>0</v>
      </c>
      <c r="F195" s="79">
        <v>0</v>
      </c>
      <c r="G195" s="79">
        <v>0</v>
      </c>
      <c r="H195" s="79">
        <v>0</v>
      </c>
      <c r="I195" s="79">
        <v>0</v>
      </c>
      <c r="J195" s="79">
        <v>0</v>
      </c>
      <c r="K195" s="79">
        <v>1</v>
      </c>
      <c r="L195" s="79">
        <v>1</v>
      </c>
      <c r="M195" s="79">
        <v>1</v>
      </c>
    </row>
    <row r="196" spans="1:13">
      <c r="A196" s="78">
        <v>1024462932</v>
      </c>
      <c r="B196" s="79">
        <v>67</v>
      </c>
      <c r="C196" s="79">
        <v>6</v>
      </c>
      <c r="D196" s="79">
        <v>10</v>
      </c>
      <c r="E196" s="79">
        <v>17</v>
      </c>
      <c r="F196" s="79">
        <v>6067500</v>
      </c>
      <c r="G196" s="79">
        <v>83250000</v>
      </c>
      <c r="H196" s="79">
        <v>69269497.900000006</v>
      </c>
      <c r="I196" s="79">
        <v>72111766</v>
      </c>
      <c r="J196" s="79">
        <v>0</v>
      </c>
      <c r="K196" s="79">
        <v>4</v>
      </c>
      <c r="L196" s="79">
        <v>2</v>
      </c>
      <c r="M196" s="79">
        <v>5</v>
      </c>
    </row>
    <row r="197" spans="1:13">
      <c r="A197" s="78">
        <v>1122124840</v>
      </c>
      <c r="B197" s="79">
        <v>117</v>
      </c>
      <c r="C197" s="79">
        <v>3</v>
      </c>
      <c r="D197" s="79">
        <v>11</v>
      </c>
      <c r="E197" s="79">
        <v>2</v>
      </c>
      <c r="F197" s="79">
        <v>3752876.8333333335</v>
      </c>
      <c r="G197" s="79">
        <v>42000000</v>
      </c>
      <c r="H197" s="79">
        <v>0</v>
      </c>
      <c r="I197" s="79">
        <v>25169000</v>
      </c>
      <c r="J197" s="79">
        <v>0</v>
      </c>
      <c r="K197" s="79">
        <v>4</v>
      </c>
      <c r="L197" s="79">
        <v>8</v>
      </c>
      <c r="M197" s="79">
        <v>5</v>
      </c>
    </row>
    <row r="198" spans="1:13">
      <c r="A198" s="78">
        <v>1033776499</v>
      </c>
      <c r="B198" s="79">
        <v>46</v>
      </c>
      <c r="C198" s="79">
        <v>3</v>
      </c>
      <c r="D198" s="79">
        <v>3</v>
      </c>
      <c r="E198" s="79">
        <v>0</v>
      </c>
      <c r="F198" s="79">
        <v>1415000</v>
      </c>
      <c r="G198" s="79">
        <v>14500000</v>
      </c>
      <c r="H198" s="79">
        <v>15000000</v>
      </c>
      <c r="I198" s="79">
        <v>12028000</v>
      </c>
      <c r="J198" s="79">
        <v>0</v>
      </c>
      <c r="K198" s="79">
        <v>2</v>
      </c>
      <c r="L198" s="79">
        <v>2</v>
      </c>
      <c r="M198" s="79">
        <v>0</v>
      </c>
    </row>
    <row r="199" spans="1:13">
      <c r="A199" s="78">
        <v>1095938036</v>
      </c>
      <c r="B199" s="79">
        <v>54</v>
      </c>
      <c r="C199" s="79">
        <v>3</v>
      </c>
      <c r="D199" s="79">
        <v>9</v>
      </c>
      <c r="E199" s="79">
        <v>0</v>
      </c>
      <c r="F199" s="79">
        <v>5720000</v>
      </c>
      <c r="G199" s="79">
        <v>45729391.460000001</v>
      </c>
      <c r="H199" s="79">
        <v>0</v>
      </c>
      <c r="I199" s="79">
        <v>73071587</v>
      </c>
      <c r="J199" s="79">
        <v>0</v>
      </c>
      <c r="K199" s="79">
        <v>5</v>
      </c>
      <c r="L199" s="79">
        <v>4</v>
      </c>
      <c r="M199" s="79">
        <v>2</v>
      </c>
    </row>
    <row r="200" spans="1:13">
      <c r="A200" s="78">
        <v>98641807</v>
      </c>
      <c r="B200" s="79">
        <v>42</v>
      </c>
      <c r="C200" s="79">
        <v>2</v>
      </c>
      <c r="D200" s="79">
        <v>8</v>
      </c>
      <c r="E200" s="79">
        <v>1</v>
      </c>
      <c r="F200" s="79">
        <v>615000</v>
      </c>
      <c r="G200" s="79">
        <v>9600000</v>
      </c>
      <c r="H200" s="79">
        <v>0</v>
      </c>
      <c r="I200" s="79">
        <v>53321000</v>
      </c>
      <c r="J200" s="79">
        <v>0</v>
      </c>
      <c r="K200" s="79">
        <v>4</v>
      </c>
      <c r="L200" s="79">
        <v>6</v>
      </c>
      <c r="M200" s="79">
        <v>1</v>
      </c>
    </row>
    <row r="201" spans="1:13">
      <c r="A201" s="78">
        <v>1026251399</v>
      </c>
      <c r="B201" s="79">
        <v>0</v>
      </c>
      <c r="C201" s="79">
        <v>0</v>
      </c>
      <c r="D201" s="79">
        <v>0</v>
      </c>
      <c r="E201" s="79">
        <v>0</v>
      </c>
      <c r="F201" s="79">
        <v>0</v>
      </c>
      <c r="G201" s="79">
        <v>0</v>
      </c>
      <c r="H201" s="79">
        <v>0</v>
      </c>
      <c r="I201" s="79">
        <v>0</v>
      </c>
      <c r="J201" s="79">
        <v>0</v>
      </c>
      <c r="K201" s="79">
        <v>0</v>
      </c>
      <c r="L201" s="79">
        <v>0</v>
      </c>
      <c r="M201" s="79">
        <v>0</v>
      </c>
    </row>
    <row r="202" spans="1:13">
      <c r="A202" s="78">
        <v>37088011</v>
      </c>
      <c r="B202" s="79">
        <v>69</v>
      </c>
      <c r="C202" s="79">
        <v>7</v>
      </c>
      <c r="D202" s="79">
        <v>16</v>
      </c>
      <c r="E202" s="79">
        <v>2</v>
      </c>
      <c r="F202" s="79">
        <v>5914000</v>
      </c>
      <c r="G202" s="79">
        <v>55800000</v>
      </c>
      <c r="H202" s="79">
        <v>30000000</v>
      </c>
      <c r="I202" s="79">
        <v>111773023</v>
      </c>
      <c r="J202" s="79">
        <v>103500000</v>
      </c>
      <c r="K202" s="79">
        <v>0</v>
      </c>
      <c r="L202" s="79">
        <v>4</v>
      </c>
      <c r="M202" s="79">
        <v>13</v>
      </c>
    </row>
    <row r="203" spans="1:13">
      <c r="A203" s="78">
        <v>52821424</v>
      </c>
      <c r="B203" s="79">
        <v>66</v>
      </c>
      <c r="C203" s="79">
        <v>3</v>
      </c>
      <c r="D203" s="79">
        <v>17</v>
      </c>
      <c r="E203" s="79">
        <v>3</v>
      </c>
      <c r="F203" s="79">
        <v>12006131.5</v>
      </c>
      <c r="G203" s="79">
        <v>68000000</v>
      </c>
      <c r="H203" s="79">
        <v>90000000</v>
      </c>
      <c r="I203" s="79">
        <v>110215350</v>
      </c>
      <c r="J203" s="79">
        <v>0</v>
      </c>
      <c r="K203" s="79">
        <v>2</v>
      </c>
      <c r="L203" s="79">
        <v>8</v>
      </c>
      <c r="M203" s="79">
        <v>5</v>
      </c>
    </row>
    <row r="204" spans="1:13">
      <c r="A204" s="78">
        <v>1014265758</v>
      </c>
      <c r="B204" s="79">
        <v>78</v>
      </c>
      <c r="C204" s="79">
        <v>3</v>
      </c>
      <c r="D204" s="79">
        <v>12</v>
      </c>
      <c r="E204" s="79">
        <v>3</v>
      </c>
      <c r="F204" s="79">
        <v>4735000</v>
      </c>
      <c r="G204" s="79">
        <v>93055649.390000001</v>
      </c>
      <c r="H204" s="79">
        <v>0</v>
      </c>
      <c r="I204" s="79">
        <v>85282339</v>
      </c>
      <c r="J204" s="79">
        <v>0</v>
      </c>
      <c r="K204" s="79">
        <v>5</v>
      </c>
      <c r="L204" s="79">
        <v>8</v>
      </c>
      <c r="M204" s="79">
        <v>2</v>
      </c>
    </row>
    <row r="205" spans="1:13">
      <c r="A205" s="78">
        <v>65752276</v>
      </c>
      <c r="B205" s="79">
        <v>71</v>
      </c>
      <c r="C205" s="79">
        <v>1</v>
      </c>
      <c r="D205" s="79">
        <v>16</v>
      </c>
      <c r="E205" s="79">
        <v>0</v>
      </c>
      <c r="F205" s="79">
        <v>8240000</v>
      </c>
      <c r="G205" s="79">
        <v>95911121.599999994</v>
      </c>
      <c r="H205" s="79">
        <v>30000000</v>
      </c>
      <c r="I205" s="79">
        <v>108446226</v>
      </c>
      <c r="J205" s="79">
        <v>0</v>
      </c>
      <c r="K205" s="79">
        <v>6</v>
      </c>
      <c r="L205" s="79">
        <v>10</v>
      </c>
      <c r="M205" s="79">
        <v>15</v>
      </c>
    </row>
    <row r="206" spans="1:13">
      <c r="A206" s="78">
        <v>1115067117</v>
      </c>
      <c r="B206" s="79">
        <v>70</v>
      </c>
      <c r="C206" s="79">
        <v>4</v>
      </c>
      <c r="D206" s="79">
        <v>12</v>
      </c>
      <c r="E206" s="79">
        <v>9</v>
      </c>
      <c r="F206" s="79">
        <v>12485000</v>
      </c>
      <c r="G206" s="79">
        <v>181900000</v>
      </c>
      <c r="H206" s="79">
        <v>0</v>
      </c>
      <c r="I206" s="79">
        <v>76415043</v>
      </c>
      <c r="J206" s="79">
        <v>0</v>
      </c>
      <c r="K206" s="79">
        <v>14</v>
      </c>
      <c r="L206" s="79">
        <v>16</v>
      </c>
      <c r="M206" s="79">
        <v>15</v>
      </c>
    </row>
    <row r="207" spans="1:13">
      <c r="A207" s="78">
        <v>1023917311</v>
      </c>
      <c r="B207" s="79">
        <v>39</v>
      </c>
      <c r="C207" s="79">
        <v>5</v>
      </c>
      <c r="D207" s="79">
        <v>7</v>
      </c>
      <c r="E207" s="79">
        <v>4</v>
      </c>
      <c r="F207" s="79">
        <v>4962500</v>
      </c>
      <c r="G207" s="79">
        <v>47300000</v>
      </c>
      <c r="H207" s="79">
        <v>0</v>
      </c>
      <c r="I207" s="79">
        <v>47623012</v>
      </c>
      <c r="J207" s="79">
        <v>0</v>
      </c>
      <c r="K207" s="79">
        <v>4</v>
      </c>
      <c r="L207" s="79">
        <v>4</v>
      </c>
      <c r="M207" s="79">
        <v>6</v>
      </c>
    </row>
    <row r="208" spans="1:13">
      <c r="A208" s="78">
        <v>1129578041</v>
      </c>
      <c r="B208" s="79">
        <v>28</v>
      </c>
      <c r="C208" s="79">
        <v>3</v>
      </c>
      <c r="D208" s="79">
        <v>4</v>
      </c>
      <c r="E208" s="79">
        <v>4</v>
      </c>
      <c r="F208" s="79">
        <v>4621666.666666667</v>
      </c>
      <c r="G208" s="79">
        <v>75000000</v>
      </c>
      <c r="H208" s="79">
        <v>0</v>
      </c>
      <c r="I208" s="79">
        <v>50128172</v>
      </c>
      <c r="J208" s="79">
        <v>0</v>
      </c>
      <c r="K208" s="79">
        <v>1</v>
      </c>
      <c r="L208" s="79">
        <v>7</v>
      </c>
      <c r="M208" s="79">
        <v>3</v>
      </c>
    </row>
    <row r="209" spans="1:13">
      <c r="A209" s="78">
        <v>1015407301</v>
      </c>
      <c r="B209" s="79">
        <v>41</v>
      </c>
      <c r="C209" s="79">
        <v>1</v>
      </c>
      <c r="D209" s="79">
        <v>10</v>
      </c>
      <c r="E209" s="79">
        <v>7</v>
      </c>
      <c r="F209" s="79">
        <v>6067500</v>
      </c>
      <c r="G209" s="79">
        <v>79500000</v>
      </c>
      <c r="H209" s="79">
        <v>5000000</v>
      </c>
      <c r="I209" s="79">
        <v>96376000</v>
      </c>
      <c r="J209" s="79">
        <v>0</v>
      </c>
      <c r="K209" s="79">
        <v>2</v>
      </c>
      <c r="L209" s="79">
        <v>8</v>
      </c>
      <c r="M209" s="79">
        <v>1</v>
      </c>
    </row>
    <row r="210" spans="1:13">
      <c r="A210" s="78">
        <v>52018557</v>
      </c>
      <c r="B210" s="79">
        <v>71</v>
      </c>
      <c r="C210" s="79">
        <v>2</v>
      </c>
      <c r="D210" s="79">
        <v>5</v>
      </c>
      <c r="E210" s="79">
        <v>6</v>
      </c>
      <c r="F210" s="79">
        <v>1415000</v>
      </c>
      <c r="G210" s="79">
        <v>50000000</v>
      </c>
      <c r="H210" s="79">
        <v>0</v>
      </c>
      <c r="I210" s="79">
        <v>66714997</v>
      </c>
      <c r="J210" s="79">
        <v>0</v>
      </c>
      <c r="K210" s="79">
        <v>2</v>
      </c>
      <c r="L210" s="79">
        <v>6</v>
      </c>
      <c r="M210" s="79">
        <v>2</v>
      </c>
    </row>
    <row r="211" spans="1:13">
      <c r="A211" s="78">
        <v>1016009921</v>
      </c>
      <c r="B211" s="79">
        <v>51</v>
      </c>
      <c r="C211" s="79">
        <v>5</v>
      </c>
      <c r="D211" s="79">
        <v>7</v>
      </c>
      <c r="E211" s="79">
        <v>2</v>
      </c>
      <c r="F211" s="79">
        <v>3690000</v>
      </c>
      <c r="G211" s="79">
        <v>141261586.09</v>
      </c>
      <c r="H211" s="79">
        <v>11713214.76</v>
      </c>
      <c r="I211" s="79">
        <v>38259200</v>
      </c>
      <c r="J211" s="79">
        <v>0</v>
      </c>
      <c r="K211" s="79">
        <v>3</v>
      </c>
      <c r="L211" s="79">
        <v>6</v>
      </c>
      <c r="M211" s="79">
        <v>1</v>
      </c>
    </row>
    <row r="212" spans="1:13">
      <c r="A212" s="78">
        <v>1019067657</v>
      </c>
      <c r="B212" s="79">
        <v>65</v>
      </c>
      <c r="C212" s="79">
        <v>7</v>
      </c>
      <c r="D212" s="79">
        <v>15</v>
      </c>
      <c r="E212" s="79">
        <v>1</v>
      </c>
      <c r="F212" s="79">
        <v>4490000</v>
      </c>
      <c r="G212" s="79">
        <v>10000000</v>
      </c>
      <c r="H212" s="79">
        <v>10000000</v>
      </c>
      <c r="I212" s="79">
        <v>93721952</v>
      </c>
      <c r="J212" s="79">
        <v>0</v>
      </c>
      <c r="K212" s="79">
        <v>3</v>
      </c>
      <c r="L212" s="79">
        <v>8</v>
      </c>
      <c r="M212" s="79">
        <v>3</v>
      </c>
    </row>
    <row r="213" spans="1:13">
      <c r="A213" s="78">
        <v>1098660043</v>
      </c>
      <c r="B213" s="79">
        <v>21</v>
      </c>
      <c r="C213" s="79">
        <v>2</v>
      </c>
      <c r="D213" s="79">
        <v>0</v>
      </c>
      <c r="E213" s="79">
        <v>2</v>
      </c>
      <c r="F213" s="79">
        <v>2890000</v>
      </c>
      <c r="G213" s="79">
        <v>15000000</v>
      </c>
      <c r="H213" s="79">
        <v>0</v>
      </c>
      <c r="I213" s="79">
        <v>19327573</v>
      </c>
      <c r="J213" s="79">
        <v>47700000</v>
      </c>
      <c r="K213" s="79">
        <v>0</v>
      </c>
      <c r="L213" s="79">
        <v>0</v>
      </c>
      <c r="M213" s="79">
        <v>0</v>
      </c>
    </row>
    <row r="214" spans="1:13">
      <c r="A214" s="78">
        <v>1015401515</v>
      </c>
      <c r="B214" s="79">
        <v>59</v>
      </c>
      <c r="C214" s="79">
        <v>1</v>
      </c>
      <c r="D214" s="79">
        <v>10</v>
      </c>
      <c r="E214" s="79">
        <v>5</v>
      </c>
      <c r="F214" s="79">
        <v>3445000</v>
      </c>
      <c r="G214" s="79">
        <v>44000000</v>
      </c>
      <c r="H214" s="79">
        <v>0</v>
      </c>
      <c r="I214" s="79">
        <v>50572080</v>
      </c>
      <c r="J214" s="79">
        <v>0</v>
      </c>
      <c r="K214" s="79">
        <v>0</v>
      </c>
      <c r="L214" s="79">
        <v>4</v>
      </c>
      <c r="M214" s="79">
        <v>1</v>
      </c>
    </row>
    <row r="215" spans="1:13">
      <c r="A215" s="78">
        <v>38360495</v>
      </c>
      <c r="B215" s="79">
        <v>103</v>
      </c>
      <c r="C215" s="79">
        <v>2</v>
      </c>
      <c r="D215" s="79">
        <v>12</v>
      </c>
      <c r="E215" s="79">
        <v>4</v>
      </c>
      <c r="F215" s="79">
        <v>6908206</v>
      </c>
      <c r="G215" s="79">
        <v>76950000</v>
      </c>
      <c r="H215" s="79">
        <v>30000000</v>
      </c>
      <c r="I215" s="79">
        <v>127256693</v>
      </c>
      <c r="J215" s="79">
        <v>0</v>
      </c>
      <c r="K215" s="79">
        <v>8</v>
      </c>
      <c r="L215" s="79">
        <v>10</v>
      </c>
      <c r="M215" s="79">
        <v>14</v>
      </c>
    </row>
    <row r="216" spans="1:13">
      <c r="A216" s="78">
        <v>1017184760</v>
      </c>
      <c r="B216" s="79">
        <v>145</v>
      </c>
      <c r="C216" s="79">
        <v>1</v>
      </c>
      <c r="D216" s="79">
        <v>7</v>
      </c>
      <c r="E216" s="79">
        <v>1</v>
      </c>
      <c r="F216" s="79">
        <v>2970500</v>
      </c>
      <c r="G216" s="79">
        <v>6000000</v>
      </c>
      <c r="H216" s="79">
        <v>25000000</v>
      </c>
      <c r="I216" s="79">
        <v>21200576</v>
      </c>
      <c r="J216" s="79">
        <v>0</v>
      </c>
      <c r="K216" s="79">
        <v>0</v>
      </c>
      <c r="L216" s="79">
        <v>5</v>
      </c>
      <c r="M216" s="79">
        <v>6</v>
      </c>
    </row>
    <row r="217" spans="1:13">
      <c r="A217" s="78">
        <v>1077855133</v>
      </c>
      <c r="B217" s="79">
        <v>0</v>
      </c>
      <c r="C217" s="79">
        <v>0</v>
      </c>
      <c r="D217" s="79">
        <v>0</v>
      </c>
      <c r="E217" s="79">
        <v>0</v>
      </c>
      <c r="F217" s="79">
        <v>0</v>
      </c>
      <c r="G217" s="79">
        <v>0</v>
      </c>
      <c r="H217" s="79">
        <v>0</v>
      </c>
      <c r="I217" s="79">
        <v>0</v>
      </c>
      <c r="J217" s="79">
        <v>0</v>
      </c>
      <c r="K217" s="79">
        <v>0</v>
      </c>
      <c r="L217" s="79">
        <v>0</v>
      </c>
      <c r="M217" s="79">
        <v>0</v>
      </c>
    </row>
    <row r="218" spans="1:13">
      <c r="A218" s="78">
        <v>1031134500</v>
      </c>
      <c r="B218" s="79">
        <v>47</v>
      </c>
      <c r="C218" s="79">
        <v>5</v>
      </c>
      <c r="D218" s="79">
        <v>7</v>
      </c>
      <c r="E218" s="79">
        <v>5</v>
      </c>
      <c r="F218" s="79">
        <v>8180000</v>
      </c>
      <c r="G218" s="79">
        <v>111500000</v>
      </c>
      <c r="H218" s="79">
        <v>25596527.91</v>
      </c>
      <c r="I218" s="79">
        <v>49990482</v>
      </c>
      <c r="J218" s="79">
        <v>0</v>
      </c>
      <c r="K218" s="79">
        <v>5</v>
      </c>
      <c r="L218" s="79">
        <v>10</v>
      </c>
      <c r="M218" s="79">
        <v>8</v>
      </c>
    </row>
    <row r="219" spans="1:13">
      <c r="A219" s="78">
        <v>1053833641</v>
      </c>
      <c r="B219" s="79">
        <v>18</v>
      </c>
      <c r="C219" s="79">
        <v>0</v>
      </c>
      <c r="D219" s="79">
        <v>2</v>
      </c>
      <c r="E219" s="79">
        <v>4</v>
      </c>
      <c r="F219" s="79">
        <v>1845000</v>
      </c>
      <c r="G219" s="79">
        <v>50000000</v>
      </c>
      <c r="H219" s="79">
        <v>0</v>
      </c>
      <c r="I219" s="79">
        <v>8183000</v>
      </c>
      <c r="J219" s="79">
        <v>0</v>
      </c>
      <c r="K219" s="79">
        <v>1</v>
      </c>
      <c r="L219" s="79">
        <v>3</v>
      </c>
      <c r="M219" s="79">
        <v>2</v>
      </c>
    </row>
    <row r="220" spans="1:13">
      <c r="A220" s="78">
        <v>1044422356</v>
      </c>
      <c r="B220" s="79">
        <v>47</v>
      </c>
      <c r="C220" s="79">
        <v>0</v>
      </c>
      <c r="D220" s="79">
        <v>11</v>
      </c>
      <c r="E220" s="79">
        <v>3</v>
      </c>
      <c r="F220" s="79">
        <v>2562500</v>
      </c>
      <c r="G220" s="79">
        <v>27100000</v>
      </c>
      <c r="H220" s="79">
        <v>64000000</v>
      </c>
      <c r="I220" s="79">
        <v>72544070</v>
      </c>
      <c r="J220" s="79">
        <v>0</v>
      </c>
      <c r="K220" s="79">
        <v>2</v>
      </c>
      <c r="L220" s="79">
        <v>5</v>
      </c>
      <c r="M220" s="79">
        <v>8</v>
      </c>
    </row>
    <row r="221" spans="1:13">
      <c r="A221" s="78">
        <v>29286986</v>
      </c>
      <c r="B221" s="79">
        <v>66</v>
      </c>
      <c r="C221" s="79">
        <v>6</v>
      </c>
      <c r="D221" s="79">
        <v>9</v>
      </c>
      <c r="E221" s="79">
        <v>2</v>
      </c>
      <c r="F221" s="79">
        <v>7955940.666666667</v>
      </c>
      <c r="G221" s="79">
        <v>104820000</v>
      </c>
      <c r="H221" s="79">
        <v>15000000</v>
      </c>
      <c r="I221" s="79">
        <v>110477209</v>
      </c>
      <c r="J221" s="79">
        <v>0</v>
      </c>
      <c r="K221" s="79">
        <v>8</v>
      </c>
      <c r="L221" s="79">
        <v>9</v>
      </c>
      <c r="M221" s="79">
        <v>8</v>
      </c>
    </row>
    <row r="222" spans="1:13">
      <c r="A222" s="78">
        <v>1098658423</v>
      </c>
      <c r="B222" s="79">
        <v>58</v>
      </c>
      <c r="C222" s="79">
        <v>2</v>
      </c>
      <c r="D222" s="79">
        <v>15</v>
      </c>
      <c r="E222" s="79">
        <v>1</v>
      </c>
      <c r="F222" s="79">
        <v>9738705.5</v>
      </c>
      <c r="G222" s="79">
        <v>98500000</v>
      </c>
      <c r="H222" s="79">
        <v>0</v>
      </c>
      <c r="I222" s="79">
        <v>71434136</v>
      </c>
      <c r="J222" s="79">
        <v>0</v>
      </c>
      <c r="K222" s="79">
        <v>3</v>
      </c>
      <c r="L222" s="79">
        <v>13</v>
      </c>
      <c r="M222" s="79">
        <v>5</v>
      </c>
    </row>
    <row r="223" spans="1:13">
      <c r="A223" s="78">
        <v>1017187072</v>
      </c>
      <c r="B223" s="79">
        <v>54</v>
      </c>
      <c r="C223" s="79">
        <v>2</v>
      </c>
      <c r="D223" s="79">
        <v>6</v>
      </c>
      <c r="E223" s="79">
        <v>5</v>
      </c>
      <c r="F223" s="79">
        <v>8325000</v>
      </c>
      <c r="G223" s="79">
        <v>56000000</v>
      </c>
      <c r="H223" s="79">
        <v>0</v>
      </c>
      <c r="I223" s="79">
        <v>51598151</v>
      </c>
      <c r="J223" s="79">
        <v>0</v>
      </c>
      <c r="K223" s="79">
        <v>1</v>
      </c>
      <c r="L223" s="79">
        <v>5</v>
      </c>
      <c r="M223" s="79">
        <v>1</v>
      </c>
    </row>
    <row r="224" spans="1:13">
      <c r="A224" s="78">
        <v>28191995</v>
      </c>
      <c r="B224" s="79">
        <v>50</v>
      </c>
      <c r="C224" s="79">
        <v>3</v>
      </c>
      <c r="D224" s="79">
        <v>10</v>
      </c>
      <c r="E224" s="79">
        <v>8</v>
      </c>
      <c r="F224" s="79">
        <v>7195000</v>
      </c>
      <c r="G224" s="79">
        <v>62500000</v>
      </c>
      <c r="H224" s="79">
        <v>98000000</v>
      </c>
      <c r="I224" s="79">
        <v>62406933</v>
      </c>
      <c r="J224" s="79">
        <v>0</v>
      </c>
      <c r="K224" s="79">
        <v>1</v>
      </c>
      <c r="L224" s="79">
        <v>2</v>
      </c>
      <c r="M224" s="79">
        <v>2</v>
      </c>
    </row>
    <row r="225" spans="1:13">
      <c r="A225" s="78">
        <v>1019081634</v>
      </c>
      <c r="B225" s="79">
        <v>49</v>
      </c>
      <c r="C225" s="79">
        <v>1</v>
      </c>
      <c r="D225" s="79">
        <v>9</v>
      </c>
      <c r="E225" s="79">
        <v>1</v>
      </c>
      <c r="F225" s="79">
        <v>3075000</v>
      </c>
      <c r="G225" s="79">
        <v>7300000</v>
      </c>
      <c r="H225" s="79">
        <v>0</v>
      </c>
      <c r="I225" s="79">
        <v>17142026</v>
      </c>
      <c r="J225" s="79">
        <v>0</v>
      </c>
      <c r="K225" s="79">
        <v>0</v>
      </c>
      <c r="L225" s="79">
        <v>1</v>
      </c>
      <c r="M225" s="79">
        <v>0</v>
      </c>
    </row>
    <row r="226" spans="1:13">
      <c r="A226" s="78">
        <v>1100955720</v>
      </c>
      <c r="B226" s="79">
        <v>56</v>
      </c>
      <c r="C226" s="79">
        <v>4</v>
      </c>
      <c r="D226" s="79">
        <v>8</v>
      </c>
      <c r="E226" s="79">
        <v>0</v>
      </c>
      <c r="F226" s="79">
        <v>7995000</v>
      </c>
      <c r="G226" s="79">
        <v>106900000</v>
      </c>
      <c r="H226" s="79">
        <v>13500000</v>
      </c>
      <c r="I226" s="79">
        <v>16267000</v>
      </c>
      <c r="J226" s="79">
        <v>0</v>
      </c>
      <c r="K226" s="79">
        <v>2</v>
      </c>
      <c r="L226" s="79">
        <v>6</v>
      </c>
      <c r="M226" s="79">
        <v>0</v>
      </c>
    </row>
    <row r="227" spans="1:13">
      <c r="A227" s="78">
        <v>1057544312</v>
      </c>
      <c r="B227" s="79">
        <v>96</v>
      </c>
      <c r="C227" s="79">
        <v>7</v>
      </c>
      <c r="D227" s="79">
        <v>4</v>
      </c>
      <c r="E227" s="79">
        <v>4</v>
      </c>
      <c r="F227" s="79">
        <v>8240000</v>
      </c>
      <c r="G227" s="79">
        <v>129199999.99999999</v>
      </c>
      <c r="H227" s="79">
        <v>0</v>
      </c>
      <c r="I227" s="79">
        <v>45919577</v>
      </c>
      <c r="J227" s="79">
        <v>0</v>
      </c>
      <c r="K227" s="79">
        <v>7</v>
      </c>
      <c r="L227" s="79">
        <v>8</v>
      </c>
      <c r="M227" s="79">
        <v>5</v>
      </c>
    </row>
    <row r="228" spans="1:13">
      <c r="A228" s="78">
        <v>98482964</v>
      </c>
      <c r="B228" s="79">
        <v>61</v>
      </c>
      <c r="C228" s="79">
        <v>1</v>
      </c>
      <c r="D228" s="79">
        <v>12</v>
      </c>
      <c r="E228" s="79">
        <v>6</v>
      </c>
      <c r="F228" s="79">
        <v>5775500</v>
      </c>
      <c r="G228" s="79">
        <v>47752096.840000004</v>
      </c>
      <c r="H228" s="79">
        <v>28000000</v>
      </c>
      <c r="I228" s="79">
        <v>105980756</v>
      </c>
      <c r="J228" s="79">
        <v>0</v>
      </c>
      <c r="K228" s="79">
        <v>5</v>
      </c>
      <c r="L228" s="79">
        <v>13</v>
      </c>
      <c r="M228" s="79">
        <v>11</v>
      </c>
    </row>
    <row r="229" spans="1:13">
      <c r="A229" s="78">
        <v>1070752003</v>
      </c>
      <c r="B229" s="79">
        <v>103</v>
      </c>
      <c r="C229" s="79">
        <v>4</v>
      </c>
      <c r="D229" s="79">
        <v>16</v>
      </c>
      <c r="E229" s="79">
        <v>5</v>
      </c>
      <c r="F229" s="79">
        <v>7215000</v>
      </c>
      <c r="G229" s="79">
        <v>58100000</v>
      </c>
      <c r="H229" s="79">
        <v>0</v>
      </c>
      <c r="I229" s="79">
        <v>43516871</v>
      </c>
      <c r="J229" s="79">
        <v>0</v>
      </c>
      <c r="K229" s="79">
        <v>4</v>
      </c>
      <c r="L229" s="79">
        <v>22</v>
      </c>
      <c r="M229" s="79">
        <v>4</v>
      </c>
    </row>
    <row r="230" spans="1:13">
      <c r="A230" s="78">
        <v>1140816983</v>
      </c>
      <c r="B230" s="79">
        <v>31</v>
      </c>
      <c r="C230" s="79">
        <v>0</v>
      </c>
      <c r="D230" s="79">
        <v>7</v>
      </c>
      <c r="E230" s="79">
        <v>1</v>
      </c>
      <c r="F230" s="79">
        <v>5105000</v>
      </c>
      <c r="G230" s="79">
        <v>30000000</v>
      </c>
      <c r="H230" s="79">
        <v>0</v>
      </c>
      <c r="I230" s="79">
        <v>56168726</v>
      </c>
      <c r="J230" s="79">
        <v>30000000</v>
      </c>
      <c r="K230" s="79">
        <v>1</v>
      </c>
      <c r="L230" s="79">
        <v>7</v>
      </c>
      <c r="M230" s="79">
        <v>1</v>
      </c>
    </row>
    <row r="231" spans="1:13">
      <c r="A231" s="78">
        <v>1018431873</v>
      </c>
      <c r="B231" s="79">
        <v>37</v>
      </c>
      <c r="C231" s="79">
        <v>0</v>
      </c>
      <c r="D231" s="79">
        <v>5</v>
      </c>
      <c r="E231" s="79">
        <v>2</v>
      </c>
      <c r="F231" s="79">
        <v>5250000</v>
      </c>
      <c r="G231" s="79">
        <v>41200000</v>
      </c>
      <c r="H231" s="79">
        <v>11000000</v>
      </c>
      <c r="I231" s="79">
        <v>74485800</v>
      </c>
      <c r="J231" s="79">
        <v>0</v>
      </c>
      <c r="K231" s="79">
        <v>0</v>
      </c>
      <c r="L231" s="79">
        <v>9</v>
      </c>
      <c r="M231" s="79">
        <v>1</v>
      </c>
    </row>
    <row r="232" spans="1:13">
      <c r="A232" s="78">
        <v>1144061668</v>
      </c>
      <c r="B232" s="79">
        <v>37</v>
      </c>
      <c r="C232" s="79">
        <v>0</v>
      </c>
      <c r="D232" s="79">
        <v>5</v>
      </c>
      <c r="E232" s="79">
        <v>0</v>
      </c>
      <c r="F232" s="79">
        <v>4120000</v>
      </c>
      <c r="G232" s="79">
        <v>92915000</v>
      </c>
      <c r="H232" s="79">
        <v>88000000</v>
      </c>
      <c r="I232" s="79">
        <v>21407000</v>
      </c>
      <c r="J232" s="79">
        <v>0</v>
      </c>
      <c r="K232" s="79">
        <v>5</v>
      </c>
      <c r="L232" s="79">
        <v>8</v>
      </c>
      <c r="M232" s="79">
        <v>8</v>
      </c>
    </row>
    <row r="233" spans="1:13">
      <c r="A233" s="78">
        <v>1035852910</v>
      </c>
      <c r="B233" s="79">
        <v>44</v>
      </c>
      <c r="C233" s="79">
        <v>3</v>
      </c>
      <c r="D233" s="79">
        <v>10</v>
      </c>
      <c r="E233" s="79">
        <v>4</v>
      </c>
      <c r="F233" s="79">
        <v>2130209.5</v>
      </c>
      <c r="G233" s="79">
        <v>87300000</v>
      </c>
      <c r="H233" s="79">
        <v>18000000</v>
      </c>
      <c r="I233" s="79">
        <v>78091906</v>
      </c>
      <c r="J233" s="79">
        <v>0</v>
      </c>
      <c r="K233" s="79">
        <v>5</v>
      </c>
      <c r="L233" s="79">
        <v>9</v>
      </c>
      <c r="M233" s="79">
        <v>5</v>
      </c>
    </row>
    <row r="234" spans="1:13">
      <c r="A234" s="78">
        <v>1020782342</v>
      </c>
      <c r="B234" s="79">
        <v>32</v>
      </c>
      <c r="C234" s="79">
        <v>3</v>
      </c>
      <c r="D234" s="79">
        <v>3</v>
      </c>
      <c r="E234" s="79">
        <v>1</v>
      </c>
      <c r="F234" s="79">
        <v>0</v>
      </c>
      <c r="G234" s="79">
        <v>34200000</v>
      </c>
      <c r="H234" s="79">
        <v>68000000</v>
      </c>
      <c r="I234" s="79">
        <v>29193213</v>
      </c>
      <c r="J234" s="79">
        <v>0</v>
      </c>
      <c r="K234" s="79">
        <v>0</v>
      </c>
      <c r="L234" s="79">
        <v>6</v>
      </c>
      <c r="M234" s="79">
        <v>0</v>
      </c>
    </row>
    <row r="235" spans="1:13">
      <c r="A235" s="78">
        <v>1053778051</v>
      </c>
      <c r="B235" s="79">
        <v>71</v>
      </c>
      <c r="C235" s="79">
        <v>4</v>
      </c>
      <c r="D235" s="79">
        <v>12</v>
      </c>
      <c r="E235" s="79">
        <v>2</v>
      </c>
      <c r="F235" s="79">
        <v>7757166.666666667</v>
      </c>
      <c r="G235" s="79">
        <v>87400000</v>
      </c>
      <c r="H235" s="79">
        <v>10000000</v>
      </c>
      <c r="I235" s="79">
        <v>134119000</v>
      </c>
      <c r="J235" s="79">
        <v>0</v>
      </c>
      <c r="K235" s="79">
        <v>10</v>
      </c>
      <c r="L235" s="79">
        <v>12</v>
      </c>
      <c r="M235" s="79">
        <v>11</v>
      </c>
    </row>
    <row r="236" spans="1:13">
      <c r="A236" s="78">
        <v>1085255108</v>
      </c>
      <c r="B236" s="79">
        <v>46</v>
      </c>
      <c r="C236" s="79">
        <v>3</v>
      </c>
      <c r="D236" s="79">
        <v>11</v>
      </c>
      <c r="E236" s="79">
        <v>0</v>
      </c>
      <c r="F236" s="79">
        <v>4920000</v>
      </c>
      <c r="G236" s="79">
        <v>119437897.89000002</v>
      </c>
      <c r="H236" s="79">
        <v>87000000</v>
      </c>
      <c r="I236" s="79">
        <v>53460000</v>
      </c>
      <c r="J236" s="79">
        <v>0</v>
      </c>
      <c r="K236" s="79">
        <v>6</v>
      </c>
      <c r="L236" s="79">
        <v>5</v>
      </c>
      <c r="M236" s="79">
        <v>9</v>
      </c>
    </row>
    <row r="237" spans="1:13">
      <c r="A237" s="78">
        <v>1094924323</v>
      </c>
      <c r="B237" s="79">
        <v>71</v>
      </c>
      <c r="C237" s="79">
        <v>4</v>
      </c>
      <c r="D237" s="79">
        <v>12</v>
      </c>
      <c r="E237" s="79">
        <v>4</v>
      </c>
      <c r="F237" s="79">
        <v>7625000</v>
      </c>
      <c r="G237" s="79">
        <v>99500000</v>
      </c>
      <c r="H237" s="79">
        <v>36449367.149999999</v>
      </c>
      <c r="I237" s="79">
        <v>36102000</v>
      </c>
      <c r="J237" s="79">
        <v>0</v>
      </c>
      <c r="K237" s="79">
        <v>3</v>
      </c>
      <c r="L237" s="79">
        <v>10</v>
      </c>
      <c r="M237" s="79">
        <v>7</v>
      </c>
    </row>
    <row r="238" spans="1:13">
      <c r="A238" s="78">
        <v>1098665338</v>
      </c>
      <c r="B238" s="79">
        <v>66</v>
      </c>
      <c r="C238" s="79">
        <v>5</v>
      </c>
      <c r="D238" s="79">
        <v>13</v>
      </c>
      <c r="E238" s="79">
        <v>7</v>
      </c>
      <c r="F238" s="79">
        <v>10395000</v>
      </c>
      <c r="G238" s="79">
        <v>29689920</v>
      </c>
      <c r="H238" s="79">
        <v>0</v>
      </c>
      <c r="I238" s="79">
        <v>136581245</v>
      </c>
      <c r="J238" s="79">
        <v>0</v>
      </c>
      <c r="K238" s="79">
        <v>0</v>
      </c>
      <c r="L238" s="79">
        <v>6</v>
      </c>
      <c r="M238" s="79">
        <v>2</v>
      </c>
    </row>
    <row r="239" spans="1:13">
      <c r="A239" s="78">
        <v>63255194</v>
      </c>
      <c r="B239" s="79">
        <v>63</v>
      </c>
      <c r="C239" s="79">
        <v>1</v>
      </c>
      <c r="D239" s="79">
        <v>14</v>
      </c>
      <c r="E239" s="79">
        <v>4</v>
      </c>
      <c r="F239" s="79">
        <v>430000</v>
      </c>
      <c r="G239" s="79">
        <v>5000000</v>
      </c>
      <c r="H239" s="79">
        <v>25000000</v>
      </c>
      <c r="I239" s="79">
        <v>54783710</v>
      </c>
      <c r="J239" s="79">
        <v>0</v>
      </c>
      <c r="K239" s="79">
        <v>1</v>
      </c>
      <c r="L239" s="79">
        <v>2</v>
      </c>
      <c r="M239" s="79">
        <v>0</v>
      </c>
    </row>
    <row r="240" spans="1:13">
      <c r="A240" s="78">
        <v>1024546322</v>
      </c>
      <c r="B240" s="79">
        <v>62</v>
      </c>
      <c r="C240" s="79">
        <v>3</v>
      </c>
      <c r="D240" s="79">
        <v>5</v>
      </c>
      <c r="E240" s="79">
        <v>0</v>
      </c>
      <c r="F240" s="79">
        <v>3260000</v>
      </c>
      <c r="G240" s="79">
        <v>76400000</v>
      </c>
      <c r="H240" s="79">
        <v>0</v>
      </c>
      <c r="I240" s="79">
        <v>47599774</v>
      </c>
      <c r="J240" s="79">
        <v>0</v>
      </c>
      <c r="K240" s="79">
        <v>0</v>
      </c>
      <c r="L240" s="79">
        <v>5</v>
      </c>
      <c r="M240" s="79">
        <v>7</v>
      </c>
    </row>
    <row r="241" spans="1:13">
      <c r="A241" s="78">
        <v>1076201127</v>
      </c>
      <c r="B241" s="79">
        <v>64</v>
      </c>
      <c r="C241" s="79">
        <v>10</v>
      </c>
      <c r="D241" s="79">
        <v>3</v>
      </c>
      <c r="E241" s="79">
        <v>6</v>
      </c>
      <c r="F241" s="79">
        <v>1845000</v>
      </c>
      <c r="G241" s="79">
        <v>16100000.000000002</v>
      </c>
      <c r="H241" s="79">
        <v>0</v>
      </c>
      <c r="I241" s="79">
        <v>88698052</v>
      </c>
      <c r="J241" s="79">
        <v>0</v>
      </c>
      <c r="K241" s="79">
        <v>0</v>
      </c>
      <c r="L241" s="79">
        <v>1</v>
      </c>
      <c r="M241" s="79">
        <v>0</v>
      </c>
    </row>
    <row r="242" spans="1:13">
      <c r="A242" s="78">
        <v>52906413</v>
      </c>
      <c r="B242" s="79">
        <v>81</v>
      </c>
      <c r="C242" s="79">
        <v>5</v>
      </c>
      <c r="D242" s="79">
        <v>14</v>
      </c>
      <c r="E242" s="79">
        <v>2</v>
      </c>
      <c r="F242" s="79">
        <v>9635672.5</v>
      </c>
      <c r="G242" s="79">
        <v>50500000</v>
      </c>
      <c r="H242" s="79">
        <v>0</v>
      </c>
      <c r="I242" s="79">
        <v>55835760</v>
      </c>
      <c r="J242" s="79">
        <v>0</v>
      </c>
      <c r="K242" s="79">
        <v>3</v>
      </c>
      <c r="L242" s="79">
        <v>9</v>
      </c>
      <c r="M242" s="79">
        <v>9</v>
      </c>
    </row>
    <row r="243" spans="1:13">
      <c r="A243" s="78">
        <v>63539151</v>
      </c>
      <c r="B243" s="79">
        <v>17</v>
      </c>
      <c r="C243" s="79">
        <v>2</v>
      </c>
      <c r="D243" s="79">
        <v>4</v>
      </c>
      <c r="E243" s="79">
        <v>3</v>
      </c>
      <c r="F243" s="79">
        <v>-267984</v>
      </c>
      <c r="G243" s="79">
        <v>0</v>
      </c>
      <c r="H243" s="79">
        <v>0</v>
      </c>
      <c r="I243" s="79">
        <v>8562000</v>
      </c>
      <c r="J243" s="79">
        <v>0</v>
      </c>
      <c r="K243" s="79">
        <v>0</v>
      </c>
      <c r="L243" s="79">
        <v>0</v>
      </c>
      <c r="M243" s="79">
        <v>0</v>
      </c>
    </row>
    <row r="244" spans="1:13">
      <c r="A244" s="78">
        <v>1022943576</v>
      </c>
      <c r="B244" s="79">
        <v>88</v>
      </c>
      <c r="C244" s="79">
        <v>6</v>
      </c>
      <c r="D244" s="79">
        <v>12</v>
      </c>
      <c r="E244" s="79">
        <v>9</v>
      </c>
      <c r="F244" s="79">
        <v>7380000</v>
      </c>
      <c r="G244" s="79">
        <v>141000000</v>
      </c>
      <c r="H244" s="79">
        <v>31000000</v>
      </c>
      <c r="I244" s="79">
        <v>98229000</v>
      </c>
      <c r="J244" s="79">
        <v>0</v>
      </c>
      <c r="K244" s="79">
        <v>1</v>
      </c>
      <c r="L244" s="79">
        <v>0</v>
      </c>
      <c r="M244" s="79">
        <v>0</v>
      </c>
    </row>
    <row r="245" spans="1:13">
      <c r="A245" s="78">
        <v>52542928</v>
      </c>
      <c r="B245" s="79">
        <v>50</v>
      </c>
      <c r="C245" s="79">
        <v>11</v>
      </c>
      <c r="D245" s="79">
        <v>10</v>
      </c>
      <c r="E245" s="79">
        <v>1</v>
      </c>
      <c r="F245" s="79">
        <v>3398500</v>
      </c>
      <c r="G245" s="79">
        <v>26200000</v>
      </c>
      <c r="H245" s="79">
        <v>0</v>
      </c>
      <c r="I245" s="79">
        <v>43492300</v>
      </c>
      <c r="J245" s="79">
        <v>0</v>
      </c>
      <c r="K245" s="79">
        <v>2</v>
      </c>
      <c r="L245" s="79">
        <v>7</v>
      </c>
      <c r="M245" s="79">
        <v>4</v>
      </c>
    </row>
    <row r="246" spans="1:13">
      <c r="A246" s="78">
        <v>1110530481</v>
      </c>
      <c r="B246" s="79">
        <v>100</v>
      </c>
      <c r="C246" s="79">
        <v>4</v>
      </c>
      <c r="D246" s="79">
        <v>7</v>
      </c>
      <c r="E246" s="79">
        <v>3</v>
      </c>
      <c r="F246" s="79">
        <v>4305000</v>
      </c>
      <c r="G246" s="79">
        <v>86000000</v>
      </c>
      <c r="H246" s="79">
        <v>43550000</v>
      </c>
      <c r="I246" s="79">
        <v>69405400</v>
      </c>
      <c r="J246" s="79">
        <v>0</v>
      </c>
      <c r="K246" s="79">
        <v>2</v>
      </c>
      <c r="L246" s="79">
        <v>4</v>
      </c>
      <c r="M246" s="79">
        <v>1</v>
      </c>
    </row>
    <row r="247" spans="1:13">
      <c r="A247" s="78">
        <v>1018488900</v>
      </c>
      <c r="B247" s="79">
        <v>178</v>
      </c>
      <c r="C247" s="79">
        <v>3</v>
      </c>
      <c r="D247" s="79">
        <v>9</v>
      </c>
      <c r="E247" s="79">
        <v>0</v>
      </c>
      <c r="F247" s="79">
        <v>2460000</v>
      </c>
      <c r="G247" s="79">
        <v>66230000.000000007</v>
      </c>
      <c r="H247" s="79">
        <v>47000000</v>
      </c>
      <c r="I247" s="79">
        <v>12006502</v>
      </c>
      <c r="J247" s="79">
        <v>0</v>
      </c>
      <c r="K247" s="79">
        <v>0</v>
      </c>
      <c r="L247" s="79">
        <v>5</v>
      </c>
      <c r="M247" s="79">
        <v>1</v>
      </c>
    </row>
    <row r="248" spans="1:13">
      <c r="A248" s="78">
        <v>1098674803</v>
      </c>
      <c r="B248" s="79">
        <v>95</v>
      </c>
      <c r="C248" s="79">
        <v>3</v>
      </c>
      <c r="D248" s="79">
        <v>1</v>
      </c>
      <c r="E248" s="79">
        <v>0</v>
      </c>
      <c r="F248" s="79">
        <v>1230000</v>
      </c>
      <c r="G248" s="79">
        <v>50000000</v>
      </c>
      <c r="H248" s="79">
        <v>0</v>
      </c>
      <c r="I248" s="79">
        <v>69675000</v>
      </c>
      <c r="J248" s="79">
        <v>0</v>
      </c>
      <c r="K248" s="79">
        <v>0</v>
      </c>
      <c r="L248" s="79">
        <v>10</v>
      </c>
      <c r="M248" s="79">
        <v>1</v>
      </c>
    </row>
    <row r="249" spans="1:13">
      <c r="A249" s="78">
        <v>1018491895</v>
      </c>
      <c r="B249" s="79">
        <v>61</v>
      </c>
      <c r="C249" s="79">
        <v>0</v>
      </c>
      <c r="D249" s="79">
        <v>5</v>
      </c>
      <c r="E249" s="79">
        <v>0</v>
      </c>
      <c r="F249" s="79">
        <v>0</v>
      </c>
      <c r="G249" s="79">
        <v>40300000</v>
      </c>
      <c r="H249" s="79">
        <v>0</v>
      </c>
      <c r="I249" s="79">
        <v>32677000</v>
      </c>
      <c r="J249" s="79">
        <v>0</v>
      </c>
      <c r="K249" s="79">
        <v>1</v>
      </c>
      <c r="L249" s="79">
        <v>4</v>
      </c>
      <c r="M249" s="79">
        <v>6</v>
      </c>
    </row>
    <row r="250" spans="1:13">
      <c r="A250" s="78">
        <v>1095935246</v>
      </c>
      <c r="B250" s="79">
        <v>55</v>
      </c>
      <c r="C250" s="79">
        <v>2</v>
      </c>
      <c r="D250" s="79">
        <v>12</v>
      </c>
      <c r="E250" s="79">
        <v>0</v>
      </c>
      <c r="F250" s="79">
        <v>1660000</v>
      </c>
      <c r="G250" s="79">
        <v>37000000</v>
      </c>
      <c r="H250" s="79">
        <v>0</v>
      </c>
      <c r="I250" s="79">
        <v>19683510</v>
      </c>
      <c r="J250" s="79">
        <v>0</v>
      </c>
      <c r="K250" s="79">
        <v>6</v>
      </c>
      <c r="L250" s="79">
        <v>19</v>
      </c>
      <c r="M250" s="79">
        <v>8</v>
      </c>
    </row>
    <row r="251" spans="1:13">
      <c r="A251" s="78">
        <v>1018500858</v>
      </c>
      <c r="B251" s="79">
        <v>53</v>
      </c>
      <c r="C251" s="79">
        <v>4</v>
      </c>
      <c r="D251" s="79">
        <v>8</v>
      </c>
      <c r="E251" s="79">
        <v>3</v>
      </c>
      <c r="F251" s="79">
        <v>3320000</v>
      </c>
      <c r="G251" s="79">
        <v>37300000</v>
      </c>
      <c r="H251" s="79">
        <v>0</v>
      </c>
      <c r="I251" s="79">
        <v>63027896</v>
      </c>
      <c r="J251" s="79">
        <v>0</v>
      </c>
      <c r="K251" s="79">
        <v>2</v>
      </c>
      <c r="L251" s="79">
        <v>9</v>
      </c>
      <c r="M251" s="79">
        <v>4</v>
      </c>
    </row>
    <row r="252" spans="1:13">
      <c r="A252" s="78">
        <v>1121918685</v>
      </c>
      <c r="B252" s="79">
        <v>100</v>
      </c>
      <c r="C252" s="79">
        <v>0</v>
      </c>
      <c r="D252" s="79">
        <v>8</v>
      </c>
      <c r="E252" s="79">
        <v>2</v>
      </c>
      <c r="F252" s="79">
        <v>7750000</v>
      </c>
      <c r="G252" s="79">
        <v>86400000</v>
      </c>
      <c r="H252" s="79">
        <v>0</v>
      </c>
      <c r="I252" s="79">
        <v>109120445</v>
      </c>
      <c r="J252" s="79">
        <v>0</v>
      </c>
      <c r="K252" s="79">
        <v>5</v>
      </c>
      <c r="L252" s="79">
        <v>8</v>
      </c>
      <c r="M252" s="79">
        <v>5</v>
      </c>
    </row>
    <row r="253" spans="1:13">
      <c r="A253" s="78">
        <v>1090447613</v>
      </c>
      <c r="B253" s="79">
        <v>93</v>
      </c>
      <c r="C253" s="79">
        <v>2</v>
      </c>
      <c r="D253" s="79">
        <v>12</v>
      </c>
      <c r="E253" s="79">
        <v>2</v>
      </c>
      <c r="F253" s="79">
        <v>7195000</v>
      </c>
      <c r="G253" s="79">
        <v>108160000</v>
      </c>
      <c r="H253" s="79">
        <v>0</v>
      </c>
      <c r="I253" s="79">
        <v>138178244</v>
      </c>
      <c r="J253" s="79">
        <v>0</v>
      </c>
      <c r="K253" s="79">
        <v>15</v>
      </c>
      <c r="L253" s="79">
        <v>29</v>
      </c>
      <c r="M253" s="79">
        <v>26</v>
      </c>
    </row>
    <row r="254" spans="1:13">
      <c r="A254" s="78">
        <v>37002376</v>
      </c>
      <c r="B254" s="79">
        <v>301</v>
      </c>
      <c r="C254" s="79">
        <v>33</v>
      </c>
      <c r="D254" s="79">
        <v>5</v>
      </c>
      <c r="E254" s="79">
        <v>0</v>
      </c>
      <c r="F254" s="79">
        <v>3690000</v>
      </c>
      <c r="G254" s="79">
        <v>39900000</v>
      </c>
      <c r="H254" s="79">
        <v>0</v>
      </c>
      <c r="I254" s="79">
        <v>16424000</v>
      </c>
      <c r="J254" s="79">
        <v>0</v>
      </c>
      <c r="K254" s="79">
        <v>1</v>
      </c>
      <c r="L254" s="79">
        <v>4</v>
      </c>
      <c r="M254" s="79">
        <v>5</v>
      </c>
    </row>
    <row r="255" spans="1:13">
      <c r="A255" s="78">
        <v>41915400</v>
      </c>
      <c r="B255" s="79">
        <v>81</v>
      </c>
      <c r="C255" s="79">
        <v>5</v>
      </c>
      <c r="D255" s="79">
        <v>9</v>
      </c>
      <c r="E255" s="79">
        <v>6</v>
      </c>
      <c r="F255" s="79">
        <v>7380000</v>
      </c>
      <c r="G255" s="79">
        <v>160770000</v>
      </c>
      <c r="H255" s="79">
        <v>0</v>
      </c>
      <c r="I255" s="79">
        <v>87977200</v>
      </c>
      <c r="J255" s="79">
        <v>0</v>
      </c>
      <c r="K255" s="79">
        <v>3</v>
      </c>
      <c r="L255" s="79">
        <v>2</v>
      </c>
      <c r="M255" s="79">
        <v>4</v>
      </c>
    </row>
    <row r="256" spans="1:13">
      <c r="A256" s="78">
        <v>1017214837</v>
      </c>
      <c r="B256" s="79">
        <v>20</v>
      </c>
      <c r="C256" s="79">
        <v>2</v>
      </c>
      <c r="D256" s="79">
        <v>5</v>
      </c>
      <c r="E256" s="79">
        <v>10</v>
      </c>
      <c r="F256" s="79">
        <v>11656750</v>
      </c>
      <c r="G256" s="79">
        <v>107200000</v>
      </c>
      <c r="H256" s="79">
        <v>11144474.059999999</v>
      </c>
      <c r="I256" s="79">
        <v>75785075</v>
      </c>
      <c r="J256" s="79">
        <v>0</v>
      </c>
      <c r="K256" s="79">
        <v>5</v>
      </c>
      <c r="L256" s="79">
        <v>8</v>
      </c>
      <c r="M256" s="79">
        <v>8</v>
      </c>
    </row>
    <row r="257" spans="1:13">
      <c r="A257" s="78">
        <v>1012392841</v>
      </c>
      <c r="B257" s="79">
        <v>64</v>
      </c>
      <c r="C257" s="79">
        <v>2</v>
      </c>
      <c r="D257" s="79">
        <v>5</v>
      </c>
      <c r="E257" s="79">
        <v>2</v>
      </c>
      <c r="F257" s="79">
        <v>4037500</v>
      </c>
      <c r="G257" s="79">
        <v>16000000</v>
      </c>
      <c r="H257" s="79">
        <v>0</v>
      </c>
      <c r="I257" s="79">
        <v>36173786</v>
      </c>
      <c r="J257" s="79">
        <v>0</v>
      </c>
      <c r="K257" s="79">
        <v>0</v>
      </c>
      <c r="L257" s="79">
        <v>11</v>
      </c>
      <c r="M257" s="79">
        <v>1</v>
      </c>
    </row>
    <row r="258" spans="1:13">
      <c r="A258" s="78">
        <v>8055804</v>
      </c>
      <c r="B258" s="79">
        <v>32</v>
      </c>
      <c r="C258" s="79">
        <v>4</v>
      </c>
      <c r="D258" s="79">
        <v>9</v>
      </c>
      <c r="E258" s="79">
        <v>6</v>
      </c>
      <c r="F258" s="79">
        <v>8933333.3333333321</v>
      </c>
      <c r="G258" s="79">
        <v>57700000</v>
      </c>
      <c r="H258" s="79">
        <v>0</v>
      </c>
      <c r="I258" s="79">
        <v>48632451</v>
      </c>
      <c r="J258" s="79">
        <v>0</v>
      </c>
      <c r="K258" s="79">
        <v>7</v>
      </c>
      <c r="L258" s="79">
        <v>9</v>
      </c>
      <c r="M258" s="79">
        <v>10</v>
      </c>
    </row>
    <row r="259" spans="1:13">
      <c r="A259" s="78">
        <v>1233890202</v>
      </c>
      <c r="B259" s="79">
        <v>62</v>
      </c>
      <c r="C259" s="79">
        <v>6</v>
      </c>
      <c r="D259" s="79">
        <v>2</v>
      </c>
      <c r="E259" s="79">
        <v>1</v>
      </c>
      <c r="F259" s="79">
        <v>4675000</v>
      </c>
      <c r="G259" s="79">
        <v>36900000</v>
      </c>
      <c r="H259" s="79">
        <v>0</v>
      </c>
      <c r="I259" s="79">
        <v>500000</v>
      </c>
      <c r="J259" s="79">
        <v>0</v>
      </c>
      <c r="K259" s="79">
        <v>3</v>
      </c>
      <c r="L259" s="79">
        <v>14</v>
      </c>
      <c r="M259" s="79">
        <v>9</v>
      </c>
    </row>
    <row r="260" spans="1:13">
      <c r="A260" s="78">
        <v>51799085</v>
      </c>
      <c r="B260" s="79">
        <v>48</v>
      </c>
      <c r="C260" s="79">
        <v>5</v>
      </c>
      <c r="D260" s="79">
        <v>6</v>
      </c>
      <c r="E260" s="79">
        <v>14</v>
      </c>
      <c r="F260" s="79">
        <v>7810000</v>
      </c>
      <c r="G260" s="79">
        <v>44700000</v>
      </c>
      <c r="H260" s="79">
        <v>81601600.280000001</v>
      </c>
      <c r="I260" s="79">
        <v>64505164</v>
      </c>
      <c r="J260" s="79">
        <v>0</v>
      </c>
      <c r="K260" s="79">
        <v>1</v>
      </c>
      <c r="L260" s="79">
        <v>9</v>
      </c>
      <c r="M260" s="79">
        <v>5</v>
      </c>
    </row>
    <row r="261" spans="1:13">
      <c r="A261" s="78">
        <v>1033784452</v>
      </c>
      <c r="B261" s="79">
        <v>46</v>
      </c>
      <c r="C261" s="79">
        <v>3</v>
      </c>
      <c r="D261" s="79">
        <v>13</v>
      </c>
      <c r="E261" s="79">
        <v>1</v>
      </c>
      <c r="F261" s="79">
        <v>6891816.75</v>
      </c>
      <c r="G261" s="79">
        <v>69300000</v>
      </c>
      <c r="H261" s="79">
        <v>40000000</v>
      </c>
      <c r="I261" s="79">
        <v>27413000</v>
      </c>
      <c r="J261" s="79">
        <v>0</v>
      </c>
      <c r="K261" s="79">
        <v>13</v>
      </c>
      <c r="L261" s="79">
        <v>16</v>
      </c>
      <c r="M261" s="79">
        <v>12</v>
      </c>
    </row>
    <row r="262" spans="1:13">
      <c r="A262" s="78">
        <v>1030552786</v>
      </c>
      <c r="B262" s="79">
        <v>37</v>
      </c>
      <c r="C262" s="79">
        <v>1</v>
      </c>
      <c r="D262" s="79">
        <v>3</v>
      </c>
      <c r="E262" s="79">
        <v>3</v>
      </c>
      <c r="F262" s="79">
        <v>5424223.5</v>
      </c>
      <c r="G262" s="79">
        <v>12000000</v>
      </c>
      <c r="H262" s="79">
        <v>111244442.39</v>
      </c>
      <c r="I262" s="79">
        <v>37230000</v>
      </c>
      <c r="J262" s="79">
        <v>0</v>
      </c>
      <c r="K262" s="79">
        <v>0</v>
      </c>
      <c r="L262" s="79">
        <v>2</v>
      </c>
      <c r="M262" s="79">
        <v>6</v>
      </c>
    </row>
    <row r="263" spans="1:13">
      <c r="A263" s="78">
        <v>1140846801</v>
      </c>
      <c r="B263" s="79">
        <v>25</v>
      </c>
      <c r="C263" s="79">
        <v>0</v>
      </c>
      <c r="D263" s="79">
        <v>2</v>
      </c>
      <c r="E263" s="79">
        <v>1</v>
      </c>
      <c r="F263" s="79">
        <v>1230000</v>
      </c>
      <c r="G263" s="79">
        <v>38000000</v>
      </c>
      <c r="H263" s="79">
        <v>0</v>
      </c>
      <c r="I263" s="79">
        <v>5682232</v>
      </c>
      <c r="J263" s="79">
        <v>0</v>
      </c>
      <c r="K263" s="79">
        <v>2</v>
      </c>
      <c r="L263" s="79">
        <v>3</v>
      </c>
      <c r="M263" s="79">
        <v>0</v>
      </c>
    </row>
    <row r="264" spans="1:13">
      <c r="A264" s="78">
        <v>1032404165</v>
      </c>
      <c r="B264" s="79">
        <v>46</v>
      </c>
      <c r="C264" s="79">
        <v>4</v>
      </c>
      <c r="D264" s="79">
        <v>14</v>
      </c>
      <c r="E264" s="79">
        <v>2</v>
      </c>
      <c r="F264" s="79">
        <v>1881000</v>
      </c>
      <c r="G264" s="79">
        <v>79800000</v>
      </c>
      <c r="H264" s="79">
        <v>0</v>
      </c>
      <c r="I264" s="79">
        <v>13270000</v>
      </c>
      <c r="J264" s="79">
        <v>0</v>
      </c>
      <c r="K264" s="79">
        <v>8</v>
      </c>
      <c r="L264" s="79">
        <v>10</v>
      </c>
      <c r="M264" s="79">
        <v>7</v>
      </c>
    </row>
    <row r="265" spans="1:13">
      <c r="A265" s="78">
        <v>1214715191</v>
      </c>
      <c r="B265" s="79">
        <v>47</v>
      </c>
      <c r="C265" s="79">
        <v>4</v>
      </c>
      <c r="D265" s="79">
        <v>12</v>
      </c>
      <c r="E265" s="79">
        <v>5</v>
      </c>
      <c r="F265" s="79">
        <v>3177500</v>
      </c>
      <c r="G265" s="79">
        <v>86200000</v>
      </c>
      <c r="H265" s="79">
        <v>14000000</v>
      </c>
      <c r="I265" s="79">
        <v>83902064</v>
      </c>
      <c r="J265" s="79">
        <v>0</v>
      </c>
      <c r="K265" s="79">
        <v>1</v>
      </c>
      <c r="L265" s="79">
        <v>5</v>
      </c>
      <c r="M265" s="79">
        <v>3</v>
      </c>
    </row>
    <row r="266" spans="1:13">
      <c r="A266" s="78">
        <v>1016032693</v>
      </c>
      <c r="B266" s="79">
        <v>21</v>
      </c>
      <c r="C266" s="79">
        <v>0</v>
      </c>
      <c r="D266" s="79">
        <v>2</v>
      </c>
      <c r="E266" s="79">
        <v>5</v>
      </c>
      <c r="F266" s="79">
        <v>1415000</v>
      </c>
      <c r="G266" s="79">
        <v>6000000</v>
      </c>
      <c r="H266" s="79">
        <v>0</v>
      </c>
      <c r="I266" s="79">
        <v>8347700</v>
      </c>
      <c r="J266" s="79">
        <v>0</v>
      </c>
      <c r="K266" s="79">
        <v>2</v>
      </c>
      <c r="L266" s="79">
        <v>1</v>
      </c>
      <c r="M266" s="79">
        <v>4</v>
      </c>
    </row>
    <row r="267" spans="1:13">
      <c r="A267" s="78">
        <v>24049457</v>
      </c>
      <c r="B267" s="79">
        <v>91</v>
      </c>
      <c r="C267" s="79">
        <v>3</v>
      </c>
      <c r="D267" s="79">
        <v>14</v>
      </c>
      <c r="E267" s="79">
        <v>5</v>
      </c>
      <c r="F267" s="79">
        <v>5720000</v>
      </c>
      <c r="G267" s="79">
        <v>49000000</v>
      </c>
      <c r="H267" s="79">
        <v>0</v>
      </c>
      <c r="I267" s="79">
        <v>118356436</v>
      </c>
      <c r="J267" s="79">
        <v>0</v>
      </c>
      <c r="K267" s="79">
        <v>2</v>
      </c>
      <c r="L267" s="79">
        <v>2</v>
      </c>
      <c r="M267" s="79">
        <v>2</v>
      </c>
    </row>
    <row r="268" spans="1:13">
      <c r="A268" s="78">
        <v>1022421705</v>
      </c>
      <c r="B268" s="79">
        <v>41</v>
      </c>
      <c r="C268" s="79">
        <v>2</v>
      </c>
      <c r="D268" s="79">
        <v>9</v>
      </c>
      <c r="E268" s="79">
        <v>2</v>
      </c>
      <c r="F268" s="79">
        <v>4550000</v>
      </c>
      <c r="G268" s="79">
        <v>25500000</v>
      </c>
      <c r="H268" s="79">
        <v>0</v>
      </c>
      <c r="I268" s="79">
        <v>44553077</v>
      </c>
      <c r="J268" s="79">
        <v>0</v>
      </c>
      <c r="K268" s="79">
        <v>0</v>
      </c>
      <c r="L268" s="79">
        <v>5</v>
      </c>
      <c r="M268" s="79">
        <v>0</v>
      </c>
    </row>
    <row r="269" spans="1:13">
      <c r="A269" s="78">
        <v>1140856648</v>
      </c>
      <c r="B269" s="79">
        <v>39</v>
      </c>
      <c r="C269" s="79">
        <v>1</v>
      </c>
      <c r="D269" s="79">
        <v>3</v>
      </c>
      <c r="E269" s="79">
        <v>0</v>
      </c>
      <c r="F269" s="79">
        <v>2460000</v>
      </c>
      <c r="G269" s="79">
        <v>54700000</v>
      </c>
      <c r="H269" s="79">
        <v>0</v>
      </c>
      <c r="I269" s="79">
        <v>74676467</v>
      </c>
      <c r="J269" s="79">
        <v>0</v>
      </c>
      <c r="K269" s="79">
        <v>1</v>
      </c>
      <c r="L269" s="79">
        <v>1</v>
      </c>
      <c r="M269" s="79">
        <v>8</v>
      </c>
    </row>
    <row r="270" spans="1:13">
      <c r="A270" s="78">
        <v>52518082</v>
      </c>
      <c r="B270" s="79">
        <v>49</v>
      </c>
      <c r="C270" s="79">
        <v>6</v>
      </c>
      <c r="D270" s="79">
        <v>12</v>
      </c>
      <c r="E270" s="79">
        <v>2</v>
      </c>
      <c r="F270" s="79">
        <v>5535000</v>
      </c>
      <c r="G270" s="79">
        <v>79100000</v>
      </c>
      <c r="H270" s="79">
        <v>5706083.2699999996</v>
      </c>
      <c r="I270" s="79">
        <v>58880774</v>
      </c>
      <c r="J270" s="79">
        <v>0</v>
      </c>
      <c r="K270" s="79">
        <v>3</v>
      </c>
      <c r="L270" s="79">
        <v>11</v>
      </c>
      <c r="M270" s="79">
        <v>5</v>
      </c>
    </row>
    <row r="271" spans="1:13">
      <c r="A271" s="78">
        <v>1015401018</v>
      </c>
      <c r="B271" s="79">
        <v>56</v>
      </c>
      <c r="C271" s="79">
        <v>2</v>
      </c>
      <c r="D271" s="79">
        <v>8</v>
      </c>
      <c r="E271" s="79">
        <v>2</v>
      </c>
      <c r="F271" s="79">
        <v>9655000</v>
      </c>
      <c r="G271" s="79">
        <v>27616401.98</v>
      </c>
      <c r="H271" s="79">
        <v>0</v>
      </c>
      <c r="I271" s="79">
        <v>37694000</v>
      </c>
      <c r="J271" s="79">
        <v>0</v>
      </c>
      <c r="K271" s="79">
        <v>5</v>
      </c>
      <c r="L271" s="79">
        <v>7</v>
      </c>
      <c r="M271" s="79">
        <v>3</v>
      </c>
    </row>
    <row r="272" spans="1:13">
      <c r="A272" s="78">
        <v>1026134714</v>
      </c>
      <c r="B272" s="79">
        <v>20</v>
      </c>
      <c r="C272" s="79">
        <v>2</v>
      </c>
      <c r="D272" s="79">
        <v>12</v>
      </c>
      <c r="E272" s="79">
        <v>0</v>
      </c>
      <c r="F272" s="79">
        <v>6355000</v>
      </c>
      <c r="G272" s="79">
        <v>87158913</v>
      </c>
      <c r="H272" s="79">
        <v>0</v>
      </c>
      <c r="I272" s="79">
        <v>133045202</v>
      </c>
      <c r="J272" s="79">
        <v>0</v>
      </c>
      <c r="K272" s="79">
        <v>1</v>
      </c>
      <c r="L272" s="79">
        <v>2</v>
      </c>
      <c r="M272" s="79">
        <v>1</v>
      </c>
    </row>
    <row r="273" spans="1:13">
      <c r="A273" s="78">
        <v>1026285669</v>
      </c>
      <c r="B273" s="79">
        <v>46</v>
      </c>
      <c r="C273" s="79">
        <v>1</v>
      </c>
      <c r="D273" s="79">
        <v>1</v>
      </c>
      <c r="E273" s="79">
        <v>0</v>
      </c>
      <c r="F273" s="79">
        <v>0</v>
      </c>
      <c r="G273" s="79">
        <v>0</v>
      </c>
      <c r="H273" s="79">
        <v>0</v>
      </c>
      <c r="I273" s="79">
        <v>815000</v>
      </c>
      <c r="J273" s="79">
        <v>0</v>
      </c>
      <c r="K273" s="79">
        <v>0</v>
      </c>
      <c r="L273" s="79">
        <v>0</v>
      </c>
      <c r="M273" s="79">
        <v>0</v>
      </c>
    </row>
    <row r="274" spans="1:13">
      <c r="A274" s="78">
        <v>1098760868</v>
      </c>
      <c r="B274" s="79">
        <v>52</v>
      </c>
      <c r="C274" s="79">
        <v>4</v>
      </c>
      <c r="D274" s="79">
        <v>1</v>
      </c>
      <c r="E274" s="79">
        <v>1</v>
      </c>
      <c r="F274" s="79">
        <v>5308000</v>
      </c>
      <c r="G274" s="79">
        <v>5000000</v>
      </c>
      <c r="H274" s="79">
        <v>0</v>
      </c>
      <c r="I274" s="79">
        <v>26298770</v>
      </c>
      <c r="J274" s="79">
        <v>0</v>
      </c>
      <c r="K274" s="79">
        <v>2</v>
      </c>
      <c r="L274" s="79">
        <v>6</v>
      </c>
      <c r="M274" s="79">
        <v>2</v>
      </c>
    </row>
    <row r="275" spans="1:13">
      <c r="A275" s="78">
        <v>1022381175</v>
      </c>
      <c r="B275" s="79">
        <v>29</v>
      </c>
      <c r="C275" s="79">
        <v>3</v>
      </c>
      <c r="D275" s="79">
        <v>6</v>
      </c>
      <c r="E275" s="79">
        <v>3</v>
      </c>
      <c r="F275" s="79">
        <v>672754</v>
      </c>
      <c r="G275" s="79">
        <v>0</v>
      </c>
      <c r="H275" s="79">
        <v>0</v>
      </c>
      <c r="I275" s="79">
        <v>40221000</v>
      </c>
      <c r="J275" s="79">
        <v>0</v>
      </c>
      <c r="K275" s="79">
        <v>0</v>
      </c>
      <c r="L275" s="79">
        <v>1</v>
      </c>
      <c r="M275" s="79">
        <v>3</v>
      </c>
    </row>
    <row r="276" spans="1:13">
      <c r="A276" s="78">
        <v>20932597</v>
      </c>
      <c r="B276" s="79">
        <v>39</v>
      </c>
      <c r="C276" s="79">
        <v>3</v>
      </c>
      <c r="D276" s="79">
        <v>11</v>
      </c>
      <c r="E276" s="79">
        <v>6</v>
      </c>
      <c r="F276" s="79">
        <v>2460000</v>
      </c>
      <c r="G276" s="79">
        <v>50000000</v>
      </c>
      <c r="H276" s="79">
        <v>0</v>
      </c>
      <c r="I276" s="79">
        <v>104794715</v>
      </c>
      <c r="J276" s="79">
        <v>0</v>
      </c>
      <c r="K276" s="79">
        <v>0</v>
      </c>
      <c r="L276" s="79">
        <v>3</v>
      </c>
      <c r="M276" s="79">
        <v>1</v>
      </c>
    </row>
    <row r="277" spans="1:13">
      <c r="A277" s="78">
        <v>1015415335</v>
      </c>
      <c r="B277" s="79">
        <v>71</v>
      </c>
      <c r="C277" s="79">
        <v>4</v>
      </c>
      <c r="D277" s="79">
        <v>12</v>
      </c>
      <c r="E277" s="79">
        <v>4</v>
      </c>
      <c r="F277" s="79">
        <v>7810000</v>
      </c>
      <c r="G277" s="79">
        <v>19000000</v>
      </c>
      <c r="H277" s="79">
        <v>0</v>
      </c>
      <c r="I277" s="79">
        <v>37855918</v>
      </c>
      <c r="J277" s="79">
        <v>0</v>
      </c>
      <c r="K277" s="79">
        <v>1</v>
      </c>
      <c r="L277" s="79">
        <v>4</v>
      </c>
      <c r="M277" s="79">
        <v>3</v>
      </c>
    </row>
    <row r="278" spans="1:13">
      <c r="A278" s="78">
        <v>45489129</v>
      </c>
      <c r="B278" s="79">
        <v>66</v>
      </c>
      <c r="C278" s="79">
        <v>2</v>
      </c>
      <c r="D278" s="79">
        <v>6</v>
      </c>
      <c r="E278" s="79">
        <v>1</v>
      </c>
      <c r="F278" s="79">
        <v>3423387</v>
      </c>
      <c r="G278" s="79">
        <v>40000000</v>
      </c>
      <c r="H278" s="79">
        <v>35000000</v>
      </c>
      <c r="I278" s="79">
        <v>34018514</v>
      </c>
      <c r="J278" s="79">
        <v>0</v>
      </c>
      <c r="K278" s="79">
        <v>1</v>
      </c>
      <c r="L278" s="79">
        <v>10</v>
      </c>
      <c r="M278" s="79">
        <v>2</v>
      </c>
    </row>
    <row r="279" spans="1:13">
      <c r="A279" s="78">
        <v>1061727834</v>
      </c>
      <c r="B279" s="79">
        <v>298</v>
      </c>
      <c r="C279" s="79">
        <v>6</v>
      </c>
      <c r="D279" s="79">
        <v>5</v>
      </c>
      <c r="E279" s="79">
        <v>2</v>
      </c>
      <c r="F279" s="79">
        <v>11093000</v>
      </c>
      <c r="G279" s="79">
        <v>207403257.42000002</v>
      </c>
      <c r="H279" s="79">
        <v>9622761.4100000001</v>
      </c>
      <c r="I279" s="79">
        <v>62326262</v>
      </c>
      <c r="J279" s="79">
        <v>0</v>
      </c>
      <c r="K279" s="79">
        <v>6</v>
      </c>
      <c r="L279" s="79">
        <v>12</v>
      </c>
      <c r="M279" s="79">
        <v>10</v>
      </c>
    </row>
    <row r="280" spans="1:13">
      <c r="A280" s="78">
        <v>98771814</v>
      </c>
      <c r="B280" s="79">
        <v>58</v>
      </c>
      <c r="C280" s="79">
        <v>1</v>
      </c>
      <c r="D280" s="79">
        <v>4</v>
      </c>
      <c r="E280" s="79">
        <v>1</v>
      </c>
      <c r="F280" s="79">
        <v>12022258.333333334</v>
      </c>
      <c r="G280" s="79">
        <v>51405740</v>
      </c>
      <c r="H280" s="79">
        <v>0</v>
      </c>
      <c r="I280" s="79">
        <v>77665000</v>
      </c>
      <c r="J280" s="79">
        <v>0</v>
      </c>
      <c r="K280" s="79">
        <v>7</v>
      </c>
      <c r="L280" s="79">
        <v>7</v>
      </c>
      <c r="M280" s="79">
        <v>9</v>
      </c>
    </row>
    <row r="281" spans="1:13">
      <c r="A281" s="78">
        <v>1022350929</v>
      </c>
      <c r="B281" s="79">
        <v>50</v>
      </c>
      <c r="C281" s="79">
        <v>5</v>
      </c>
      <c r="D281" s="79">
        <v>8</v>
      </c>
      <c r="E281" s="79">
        <v>4</v>
      </c>
      <c r="F281" s="79">
        <v>5105000</v>
      </c>
      <c r="G281" s="79">
        <v>92879282.99000001</v>
      </c>
      <c r="H281" s="79">
        <v>0</v>
      </c>
      <c r="I281" s="79">
        <v>31781003</v>
      </c>
      <c r="J281" s="79">
        <v>0</v>
      </c>
      <c r="K281" s="79">
        <v>4</v>
      </c>
      <c r="L281" s="79">
        <v>9</v>
      </c>
      <c r="M281" s="79">
        <v>7</v>
      </c>
    </row>
    <row r="282" spans="1:13">
      <c r="A282" s="78">
        <v>1024552869</v>
      </c>
      <c r="B282" s="79">
        <v>46</v>
      </c>
      <c r="C282" s="79">
        <v>4</v>
      </c>
      <c r="D282" s="79">
        <v>12</v>
      </c>
      <c r="E282" s="79">
        <v>2</v>
      </c>
      <c r="F282" s="79">
        <v>6520000</v>
      </c>
      <c r="G282" s="79">
        <v>65616843.899999991</v>
      </c>
      <c r="H282" s="79">
        <v>22516863.990000002</v>
      </c>
      <c r="I282" s="79">
        <v>117094327</v>
      </c>
      <c r="J282" s="79">
        <v>0</v>
      </c>
      <c r="K282" s="79">
        <v>0</v>
      </c>
      <c r="L282" s="79">
        <v>5</v>
      </c>
      <c r="M282" s="79">
        <v>2</v>
      </c>
    </row>
    <row r="283" spans="1:13">
      <c r="A283" s="78">
        <v>1214714414</v>
      </c>
      <c r="B283" s="79">
        <v>33</v>
      </c>
      <c r="C283" s="79">
        <v>2</v>
      </c>
      <c r="D283" s="79">
        <v>20</v>
      </c>
      <c r="E283" s="79">
        <v>8</v>
      </c>
      <c r="F283" s="79">
        <v>7189000</v>
      </c>
      <c r="G283" s="79">
        <v>123809896.90000001</v>
      </c>
      <c r="H283" s="79">
        <v>5000000</v>
      </c>
      <c r="I283" s="79">
        <v>93989000</v>
      </c>
      <c r="J283" s="79">
        <v>0</v>
      </c>
      <c r="K283" s="79">
        <v>4</v>
      </c>
      <c r="L283" s="79">
        <v>4</v>
      </c>
      <c r="M283" s="79">
        <v>9</v>
      </c>
    </row>
    <row r="284" spans="1:13">
      <c r="A284" s="78">
        <v>1030565519</v>
      </c>
      <c r="B284" s="79">
        <v>31</v>
      </c>
      <c r="C284" s="79">
        <v>8</v>
      </c>
      <c r="D284" s="79">
        <v>11</v>
      </c>
      <c r="E284" s="79">
        <v>6</v>
      </c>
      <c r="F284" s="79">
        <v>2277716.5</v>
      </c>
      <c r="G284" s="79">
        <v>57600000</v>
      </c>
      <c r="H284" s="79">
        <v>73623215.329999998</v>
      </c>
      <c r="I284" s="79">
        <v>139480889</v>
      </c>
      <c r="J284" s="79">
        <v>0</v>
      </c>
      <c r="K284" s="79">
        <v>0</v>
      </c>
      <c r="L284" s="79">
        <v>8</v>
      </c>
      <c r="M284" s="79">
        <v>4</v>
      </c>
    </row>
    <row r="285" spans="1:13">
      <c r="A285" s="78">
        <v>29126952</v>
      </c>
      <c r="B285" s="79">
        <v>47</v>
      </c>
      <c r="C285" s="79">
        <v>4</v>
      </c>
      <c r="D285" s="79">
        <v>16</v>
      </c>
      <c r="E285" s="79">
        <v>7</v>
      </c>
      <c r="F285" s="79">
        <v>8240000</v>
      </c>
      <c r="G285" s="79">
        <v>86000000</v>
      </c>
      <c r="H285" s="79">
        <v>0</v>
      </c>
      <c r="I285" s="79">
        <v>55735109</v>
      </c>
      <c r="J285" s="79">
        <v>0</v>
      </c>
      <c r="K285" s="79">
        <v>5</v>
      </c>
      <c r="L285" s="79">
        <v>14</v>
      </c>
      <c r="M285" s="79">
        <v>11</v>
      </c>
    </row>
    <row r="286" spans="1:13">
      <c r="A286" s="78">
        <v>45766371</v>
      </c>
      <c r="B286" s="79">
        <v>23</v>
      </c>
      <c r="C286" s="79">
        <v>1</v>
      </c>
      <c r="D286" s="79">
        <v>3</v>
      </c>
      <c r="E286" s="79">
        <v>3</v>
      </c>
      <c r="F286" s="79">
        <v>3690000</v>
      </c>
      <c r="G286" s="79">
        <v>11200000</v>
      </c>
      <c r="H286" s="79">
        <v>0</v>
      </c>
      <c r="I286" s="79">
        <v>16072000</v>
      </c>
      <c r="J286" s="79">
        <v>0</v>
      </c>
      <c r="K286" s="79">
        <v>1</v>
      </c>
      <c r="L286" s="79">
        <v>4</v>
      </c>
      <c r="M286" s="79">
        <v>7</v>
      </c>
    </row>
    <row r="287" spans="1:13">
      <c r="A287" s="78">
        <v>1018468257</v>
      </c>
      <c r="B287" s="79">
        <v>43</v>
      </c>
      <c r="C287" s="79">
        <v>3</v>
      </c>
      <c r="D287" s="79">
        <v>7</v>
      </c>
      <c r="E287" s="79">
        <v>1</v>
      </c>
      <c r="F287" s="79">
        <v>1230000</v>
      </c>
      <c r="G287" s="79">
        <v>65900000.000000007</v>
      </c>
      <c r="H287" s="79">
        <v>0</v>
      </c>
      <c r="I287" s="79">
        <v>17607292</v>
      </c>
      <c r="J287" s="79">
        <v>0</v>
      </c>
      <c r="K287" s="79">
        <v>0</v>
      </c>
      <c r="L287" s="79">
        <v>0</v>
      </c>
      <c r="M287" s="79">
        <v>0</v>
      </c>
    </row>
    <row r="288" spans="1:13">
      <c r="A288" s="78">
        <v>57464859</v>
      </c>
      <c r="B288" s="79">
        <v>71</v>
      </c>
      <c r="C288" s="79">
        <v>5</v>
      </c>
      <c r="D288" s="79">
        <v>13</v>
      </c>
      <c r="E288" s="79">
        <v>0</v>
      </c>
      <c r="F288" s="79">
        <v>7010000</v>
      </c>
      <c r="G288" s="79">
        <v>78000000</v>
      </c>
      <c r="H288" s="79">
        <v>0</v>
      </c>
      <c r="I288" s="79">
        <v>19688051</v>
      </c>
      <c r="J288" s="79">
        <v>0</v>
      </c>
      <c r="K288" s="79">
        <v>4</v>
      </c>
      <c r="L288" s="79">
        <v>6</v>
      </c>
      <c r="M288" s="79">
        <v>12</v>
      </c>
    </row>
    <row r="289" spans="1:13">
      <c r="A289" s="78">
        <v>38213008</v>
      </c>
      <c r="B289" s="79">
        <v>104</v>
      </c>
      <c r="C289" s="79">
        <v>7</v>
      </c>
      <c r="D289" s="79">
        <v>9</v>
      </c>
      <c r="E289" s="79">
        <v>0</v>
      </c>
      <c r="F289" s="79">
        <v>5965000</v>
      </c>
      <c r="G289" s="79">
        <v>84250000</v>
      </c>
      <c r="H289" s="79">
        <v>0</v>
      </c>
      <c r="I289" s="79">
        <v>33904049</v>
      </c>
      <c r="J289" s="79">
        <v>0</v>
      </c>
      <c r="K289" s="79">
        <v>5</v>
      </c>
      <c r="L289" s="79">
        <v>10</v>
      </c>
      <c r="M289" s="79">
        <v>11</v>
      </c>
    </row>
    <row r="290" spans="1:13">
      <c r="A290" s="78">
        <v>32298599</v>
      </c>
      <c r="B290" s="79">
        <v>45</v>
      </c>
      <c r="C290" s="79">
        <v>1</v>
      </c>
      <c r="D290" s="79">
        <v>3</v>
      </c>
      <c r="E290" s="79">
        <v>2</v>
      </c>
      <c r="F290" s="79">
        <v>6553411.583333334</v>
      </c>
      <c r="G290" s="79">
        <v>0</v>
      </c>
      <c r="H290" s="79">
        <v>0</v>
      </c>
      <c r="I290" s="79">
        <v>111454600</v>
      </c>
      <c r="J290" s="79">
        <v>0</v>
      </c>
      <c r="K290" s="79">
        <v>6</v>
      </c>
      <c r="L290" s="79">
        <v>9</v>
      </c>
      <c r="M290" s="79">
        <v>11</v>
      </c>
    </row>
    <row r="291" spans="1:13">
      <c r="A291" s="78">
        <v>98696279</v>
      </c>
      <c r="B291" s="79">
        <v>43</v>
      </c>
      <c r="C291" s="79">
        <v>2</v>
      </c>
      <c r="D291" s="79">
        <v>12</v>
      </c>
      <c r="E291" s="79">
        <v>4</v>
      </c>
      <c r="F291" s="79">
        <v>9034000</v>
      </c>
      <c r="G291" s="79">
        <v>195760000</v>
      </c>
      <c r="H291" s="79">
        <v>0</v>
      </c>
      <c r="I291" s="79">
        <v>99865792</v>
      </c>
      <c r="J291" s="79">
        <v>0</v>
      </c>
      <c r="K291" s="79">
        <v>5</v>
      </c>
      <c r="L291" s="79">
        <v>7</v>
      </c>
      <c r="M291" s="79">
        <v>9</v>
      </c>
    </row>
    <row r="292" spans="1:13">
      <c r="A292" s="78">
        <v>14135841</v>
      </c>
      <c r="B292" s="79">
        <v>86</v>
      </c>
      <c r="C292" s="79">
        <v>7</v>
      </c>
      <c r="D292" s="79">
        <v>16</v>
      </c>
      <c r="E292" s="79">
        <v>3</v>
      </c>
      <c r="F292" s="79">
        <v>11315000</v>
      </c>
      <c r="G292" s="79">
        <v>181915144.17000002</v>
      </c>
      <c r="H292" s="79">
        <v>0</v>
      </c>
      <c r="I292" s="79">
        <v>71676000</v>
      </c>
      <c r="J292" s="79">
        <v>0</v>
      </c>
      <c r="K292" s="79">
        <v>9</v>
      </c>
      <c r="L292" s="79">
        <v>24</v>
      </c>
      <c r="M292" s="79">
        <v>11</v>
      </c>
    </row>
    <row r="293" spans="1:13">
      <c r="A293" s="78">
        <v>1024468109</v>
      </c>
      <c r="B293" s="79">
        <v>85</v>
      </c>
      <c r="C293" s="79">
        <v>4</v>
      </c>
      <c r="D293" s="79">
        <v>6</v>
      </c>
      <c r="E293" s="79">
        <v>3</v>
      </c>
      <c r="F293" s="79">
        <v>7886000</v>
      </c>
      <c r="G293" s="79">
        <v>48500000</v>
      </c>
      <c r="H293" s="79">
        <v>20000000</v>
      </c>
      <c r="I293" s="79">
        <v>66004275</v>
      </c>
      <c r="J293" s="79">
        <v>0</v>
      </c>
      <c r="K293" s="79">
        <v>0</v>
      </c>
      <c r="L293" s="79">
        <v>13</v>
      </c>
      <c r="M293" s="79">
        <v>8</v>
      </c>
    </row>
    <row r="294" spans="1:13">
      <c r="A294" s="78">
        <v>10782685</v>
      </c>
      <c r="B294" s="79">
        <v>72</v>
      </c>
      <c r="C294" s="79">
        <v>1</v>
      </c>
      <c r="D294" s="79">
        <v>6</v>
      </c>
      <c r="E294" s="79">
        <v>3</v>
      </c>
      <c r="F294" s="79">
        <v>633000</v>
      </c>
      <c r="G294" s="79">
        <v>6700000</v>
      </c>
      <c r="H294" s="79">
        <v>1814466.8600000003</v>
      </c>
      <c r="I294" s="79">
        <v>2106027</v>
      </c>
      <c r="J294" s="79">
        <v>0</v>
      </c>
      <c r="K294" s="79">
        <v>1</v>
      </c>
      <c r="L294" s="79">
        <v>1</v>
      </c>
      <c r="M294" s="79">
        <v>8</v>
      </c>
    </row>
    <row r="295" spans="1:13">
      <c r="A295" s="78">
        <v>1014265444</v>
      </c>
      <c r="B295" s="79">
        <v>85</v>
      </c>
      <c r="C295" s="79">
        <v>5</v>
      </c>
      <c r="D295" s="79">
        <v>10</v>
      </c>
      <c r="E295" s="79">
        <v>0</v>
      </c>
      <c r="F295" s="79">
        <v>185000</v>
      </c>
      <c r="G295" s="79">
        <v>30500000</v>
      </c>
      <c r="H295" s="79">
        <v>0</v>
      </c>
      <c r="I295" s="79">
        <v>44868400</v>
      </c>
      <c r="J295" s="79">
        <v>0</v>
      </c>
      <c r="K295" s="79">
        <v>0</v>
      </c>
      <c r="L295" s="79">
        <v>2</v>
      </c>
      <c r="M295" s="79">
        <v>1</v>
      </c>
    </row>
    <row r="296" spans="1:13">
      <c r="A296" s="78">
        <v>1019011320</v>
      </c>
      <c r="B296" s="79">
        <v>111</v>
      </c>
      <c r="C296" s="79">
        <v>6</v>
      </c>
      <c r="D296" s="79">
        <v>12</v>
      </c>
      <c r="E296" s="79">
        <v>7</v>
      </c>
      <c r="F296" s="79">
        <v>6150000</v>
      </c>
      <c r="G296" s="79">
        <v>78500000</v>
      </c>
      <c r="H296" s="79">
        <v>0</v>
      </c>
      <c r="I296" s="79">
        <v>69398646</v>
      </c>
      <c r="J296" s="79">
        <v>0</v>
      </c>
      <c r="K296" s="79">
        <v>3</v>
      </c>
      <c r="L296" s="79">
        <v>14</v>
      </c>
      <c r="M296" s="79">
        <v>5</v>
      </c>
    </row>
    <row r="297" spans="1:13">
      <c r="A297" s="78">
        <v>45647324</v>
      </c>
      <c r="B297" s="79">
        <v>41</v>
      </c>
      <c r="C297" s="79">
        <v>0</v>
      </c>
      <c r="D297" s="79">
        <v>6</v>
      </c>
      <c r="E297" s="79">
        <v>4</v>
      </c>
      <c r="F297" s="79">
        <v>4218205.5</v>
      </c>
      <c r="G297" s="79">
        <v>55000000</v>
      </c>
      <c r="H297" s="79">
        <v>0</v>
      </c>
      <c r="I297" s="79">
        <v>73974000</v>
      </c>
      <c r="J297" s="79">
        <v>0</v>
      </c>
      <c r="K297" s="79">
        <v>2</v>
      </c>
      <c r="L297" s="79">
        <v>9</v>
      </c>
      <c r="M297" s="79">
        <v>6</v>
      </c>
    </row>
    <row r="298" spans="1:13">
      <c r="A298" s="78">
        <v>1023950498</v>
      </c>
      <c r="B298" s="79">
        <v>88</v>
      </c>
      <c r="C298" s="79">
        <v>4</v>
      </c>
      <c r="D298" s="79">
        <v>10</v>
      </c>
      <c r="E298" s="79">
        <v>3</v>
      </c>
      <c r="F298" s="79">
        <v>3135000</v>
      </c>
      <c r="G298" s="79">
        <v>70000000</v>
      </c>
      <c r="H298" s="79">
        <v>6500000</v>
      </c>
      <c r="I298" s="79">
        <v>35179000</v>
      </c>
      <c r="J298" s="79">
        <v>0</v>
      </c>
      <c r="K298" s="79">
        <v>2</v>
      </c>
      <c r="L298" s="79">
        <v>11</v>
      </c>
      <c r="M298" s="79">
        <v>1</v>
      </c>
    </row>
    <row r="299" spans="1:13">
      <c r="A299" s="78">
        <v>16452335</v>
      </c>
      <c r="B299" s="79">
        <v>55</v>
      </c>
      <c r="C299" s="79">
        <v>2</v>
      </c>
      <c r="D299" s="79">
        <v>13</v>
      </c>
      <c r="E299" s="79">
        <v>5</v>
      </c>
      <c r="F299" s="79">
        <v>11184238.25</v>
      </c>
      <c r="G299" s="79">
        <v>141000000</v>
      </c>
      <c r="H299" s="79">
        <v>0</v>
      </c>
      <c r="I299" s="79">
        <v>76895423</v>
      </c>
      <c r="J299" s="79">
        <v>0</v>
      </c>
      <c r="K299" s="79">
        <v>12</v>
      </c>
      <c r="L299" s="79">
        <v>18</v>
      </c>
      <c r="M299" s="79">
        <v>22</v>
      </c>
    </row>
    <row r="300" spans="1:13">
      <c r="A300" s="78">
        <v>1070005061</v>
      </c>
      <c r="B300" s="79">
        <v>20</v>
      </c>
      <c r="C300" s="79">
        <v>0</v>
      </c>
      <c r="D300" s="79">
        <v>8</v>
      </c>
      <c r="E300" s="79">
        <v>2</v>
      </c>
      <c r="F300" s="79">
        <v>8610000</v>
      </c>
      <c r="G300" s="79">
        <v>42600000</v>
      </c>
      <c r="H300" s="79">
        <v>0</v>
      </c>
      <c r="I300" s="79">
        <v>17842500</v>
      </c>
      <c r="J300" s="79">
        <v>0</v>
      </c>
      <c r="K300" s="79">
        <v>5</v>
      </c>
      <c r="L300" s="79">
        <v>7</v>
      </c>
      <c r="M300" s="79">
        <v>11</v>
      </c>
    </row>
    <row r="301" spans="1:13">
      <c r="A301" s="78">
        <v>1024586012</v>
      </c>
      <c r="B301" s="79">
        <v>67</v>
      </c>
      <c r="C301" s="79">
        <v>1</v>
      </c>
      <c r="D301" s="79">
        <v>2</v>
      </c>
      <c r="E301" s="79">
        <v>1</v>
      </c>
      <c r="F301" s="79">
        <v>0</v>
      </c>
      <c r="G301" s="79">
        <v>0</v>
      </c>
      <c r="H301" s="79">
        <v>0</v>
      </c>
      <c r="I301" s="79">
        <v>20103477</v>
      </c>
      <c r="J301" s="79">
        <v>0</v>
      </c>
      <c r="K301" s="79">
        <v>0</v>
      </c>
      <c r="L301" s="79">
        <v>8</v>
      </c>
      <c r="M301" s="79">
        <v>0</v>
      </c>
    </row>
    <row r="302" spans="1:13">
      <c r="A302" s="78">
        <v>1019079199</v>
      </c>
      <c r="B302" s="79">
        <v>67</v>
      </c>
      <c r="C302" s="79">
        <v>1</v>
      </c>
      <c r="D302" s="79">
        <v>7</v>
      </c>
      <c r="E302" s="79">
        <v>1</v>
      </c>
      <c r="F302" s="79">
        <v>4425134.666666666</v>
      </c>
      <c r="G302" s="79">
        <v>53600000</v>
      </c>
      <c r="H302" s="79">
        <v>0</v>
      </c>
      <c r="I302" s="79">
        <v>123674814</v>
      </c>
      <c r="J302" s="79">
        <v>0</v>
      </c>
      <c r="K302" s="79">
        <v>2</v>
      </c>
      <c r="L302" s="79">
        <v>5</v>
      </c>
      <c r="M302" s="79">
        <v>6</v>
      </c>
    </row>
    <row r="303" spans="1:13">
      <c r="A303" s="78">
        <v>8356403</v>
      </c>
      <c r="B303" s="79">
        <v>14</v>
      </c>
      <c r="C303" s="79">
        <v>1</v>
      </c>
      <c r="D303" s="79">
        <v>7</v>
      </c>
      <c r="E303" s="79">
        <v>1</v>
      </c>
      <c r="F303" s="79">
        <v>9997492.666666666</v>
      </c>
      <c r="G303" s="79">
        <v>75800000</v>
      </c>
      <c r="H303" s="79">
        <v>0</v>
      </c>
      <c r="I303" s="79">
        <v>87831618</v>
      </c>
      <c r="J303" s="79">
        <v>0</v>
      </c>
      <c r="K303" s="79">
        <v>5</v>
      </c>
      <c r="L303" s="79">
        <v>17</v>
      </c>
      <c r="M303" s="79">
        <v>11</v>
      </c>
    </row>
    <row r="304" spans="1:13">
      <c r="A304" s="78">
        <v>1013596375</v>
      </c>
      <c r="B304" s="79">
        <v>0</v>
      </c>
      <c r="C304" s="79">
        <v>0</v>
      </c>
      <c r="D304" s="79">
        <v>0</v>
      </c>
      <c r="E304" s="79">
        <v>1</v>
      </c>
      <c r="F304" s="79">
        <v>0</v>
      </c>
      <c r="G304" s="79">
        <v>0</v>
      </c>
      <c r="H304" s="79">
        <v>0</v>
      </c>
      <c r="I304" s="79">
        <v>0</v>
      </c>
      <c r="J304" s="79">
        <v>0</v>
      </c>
      <c r="K304" s="79">
        <v>0</v>
      </c>
      <c r="L304" s="79">
        <v>0</v>
      </c>
      <c r="M304" s="79">
        <v>0</v>
      </c>
    </row>
    <row r="305" spans="1:13">
      <c r="A305" s="78">
        <v>66776912</v>
      </c>
      <c r="B305" s="79">
        <v>91</v>
      </c>
      <c r="C305" s="79">
        <v>11</v>
      </c>
      <c r="D305" s="79">
        <v>7</v>
      </c>
      <c r="E305" s="79">
        <v>0</v>
      </c>
      <c r="F305" s="79">
        <v>2830000</v>
      </c>
      <c r="G305" s="79">
        <v>93400000</v>
      </c>
      <c r="H305" s="79">
        <v>88000000</v>
      </c>
      <c r="I305" s="79">
        <v>63287345</v>
      </c>
      <c r="J305" s="79">
        <v>0</v>
      </c>
      <c r="K305" s="79">
        <v>5</v>
      </c>
      <c r="L305" s="79">
        <v>9</v>
      </c>
      <c r="M305" s="79">
        <v>12</v>
      </c>
    </row>
    <row r="306" spans="1:13">
      <c r="A306" s="78">
        <v>30775465</v>
      </c>
      <c r="B306" s="79">
        <v>78</v>
      </c>
      <c r="C306" s="79">
        <v>4</v>
      </c>
      <c r="D306" s="79">
        <v>12</v>
      </c>
      <c r="E306" s="79">
        <v>1</v>
      </c>
      <c r="F306" s="79">
        <v>3750000</v>
      </c>
      <c r="G306" s="79">
        <v>32500000</v>
      </c>
      <c r="H306" s="79">
        <v>0</v>
      </c>
      <c r="I306" s="79">
        <v>7351700</v>
      </c>
      <c r="J306" s="79">
        <v>0</v>
      </c>
      <c r="K306" s="79">
        <v>1</v>
      </c>
      <c r="L306" s="79">
        <v>12</v>
      </c>
      <c r="M306" s="79">
        <v>18</v>
      </c>
    </row>
    <row r="307" spans="1:13">
      <c r="A307" s="78">
        <v>1071549297</v>
      </c>
      <c r="B307" s="79">
        <v>61</v>
      </c>
      <c r="C307" s="79">
        <v>3</v>
      </c>
      <c r="D307" s="79">
        <v>10</v>
      </c>
      <c r="E307" s="79">
        <v>9</v>
      </c>
      <c r="F307" s="79">
        <v>615000</v>
      </c>
      <c r="G307" s="79">
        <v>62614999.999999993</v>
      </c>
      <c r="H307" s="79">
        <v>0</v>
      </c>
      <c r="I307" s="79">
        <v>103209749</v>
      </c>
      <c r="J307" s="79">
        <v>0</v>
      </c>
      <c r="K307" s="79">
        <v>1</v>
      </c>
      <c r="L307" s="79">
        <v>7</v>
      </c>
      <c r="M307" s="79">
        <v>4</v>
      </c>
    </row>
    <row r="308" spans="1:13">
      <c r="A308" s="78">
        <v>1033718896</v>
      </c>
      <c r="B308" s="79">
        <v>34</v>
      </c>
      <c r="C308" s="79">
        <v>2</v>
      </c>
      <c r="D308" s="79">
        <v>8</v>
      </c>
      <c r="E308" s="79">
        <v>0</v>
      </c>
      <c r="F308" s="79">
        <v>2663000</v>
      </c>
      <c r="G308" s="79">
        <v>62300000</v>
      </c>
      <c r="H308" s="79">
        <v>0</v>
      </c>
      <c r="I308" s="79">
        <v>41892000</v>
      </c>
      <c r="J308" s="79">
        <v>0</v>
      </c>
      <c r="K308" s="79">
        <v>0</v>
      </c>
      <c r="L308" s="79">
        <v>3</v>
      </c>
      <c r="M308" s="79">
        <v>0</v>
      </c>
    </row>
    <row r="309" spans="1:13">
      <c r="A309" s="78">
        <v>35536092</v>
      </c>
      <c r="B309" s="79">
        <v>70</v>
      </c>
      <c r="C309" s="79">
        <v>1</v>
      </c>
      <c r="D309" s="79">
        <v>5</v>
      </c>
      <c r="E309" s="79">
        <v>2</v>
      </c>
      <c r="F309" s="79">
        <v>8550000</v>
      </c>
      <c r="G309" s="79">
        <v>170600000</v>
      </c>
      <c r="H309" s="79">
        <v>3250068.4399999995</v>
      </c>
      <c r="I309" s="79">
        <v>45805400</v>
      </c>
      <c r="J309" s="79">
        <v>0</v>
      </c>
      <c r="K309" s="79">
        <v>3</v>
      </c>
      <c r="L309" s="79">
        <v>4</v>
      </c>
      <c r="M309" s="79">
        <v>3</v>
      </c>
    </row>
    <row r="310" spans="1:13">
      <c r="A310" s="78">
        <v>1110510965</v>
      </c>
      <c r="B310" s="79">
        <v>94</v>
      </c>
      <c r="C310" s="79">
        <v>3</v>
      </c>
      <c r="D310" s="79">
        <v>2</v>
      </c>
      <c r="E310" s="79">
        <v>3</v>
      </c>
      <c r="F310" s="79">
        <v>2478000</v>
      </c>
      <c r="G310" s="79">
        <v>21650000</v>
      </c>
      <c r="H310" s="79">
        <v>0</v>
      </c>
      <c r="I310" s="79">
        <v>43234000</v>
      </c>
      <c r="J310" s="79">
        <v>0</v>
      </c>
      <c r="K310" s="79">
        <v>1</v>
      </c>
      <c r="L310" s="79">
        <v>5</v>
      </c>
      <c r="M310" s="79">
        <v>2</v>
      </c>
    </row>
    <row r="311" spans="1:13">
      <c r="A311" s="78">
        <v>1117519854</v>
      </c>
      <c r="B311" s="79">
        <v>57</v>
      </c>
      <c r="C311" s="79">
        <v>4</v>
      </c>
      <c r="D311" s="79">
        <v>9</v>
      </c>
      <c r="E311" s="79">
        <v>1</v>
      </c>
      <c r="F311" s="79">
        <v>4490000</v>
      </c>
      <c r="G311" s="79">
        <v>72200000</v>
      </c>
      <c r="H311" s="79">
        <v>0</v>
      </c>
      <c r="I311" s="79">
        <v>54390000</v>
      </c>
      <c r="J311" s="79">
        <v>0</v>
      </c>
      <c r="K311" s="79">
        <v>0</v>
      </c>
      <c r="L311" s="79">
        <v>4</v>
      </c>
      <c r="M311" s="79">
        <v>1</v>
      </c>
    </row>
    <row r="312" spans="1:13">
      <c r="A312" s="78">
        <v>1031159675</v>
      </c>
      <c r="B312" s="79">
        <v>61</v>
      </c>
      <c r="C312" s="79">
        <v>11</v>
      </c>
      <c r="D312" s="79">
        <v>12</v>
      </c>
      <c r="E312" s="79">
        <v>8</v>
      </c>
      <c r="F312" s="79">
        <v>6314220.833333333</v>
      </c>
      <c r="G312" s="79">
        <v>82402155.180000007</v>
      </c>
      <c r="H312" s="79">
        <v>23038518.77</v>
      </c>
      <c r="I312" s="79">
        <v>25320000</v>
      </c>
      <c r="J312" s="79">
        <v>0</v>
      </c>
      <c r="K312" s="79">
        <v>3</v>
      </c>
      <c r="L312" s="79">
        <v>10</v>
      </c>
      <c r="M312" s="79">
        <v>7</v>
      </c>
    </row>
    <row r="313" spans="1:13">
      <c r="A313" s="78">
        <v>1073512421</v>
      </c>
      <c r="B313" s="79">
        <v>8</v>
      </c>
      <c r="C313" s="79">
        <v>0</v>
      </c>
      <c r="D313" s="79">
        <v>0</v>
      </c>
      <c r="E313" s="79">
        <v>1</v>
      </c>
      <c r="F313" s="79">
        <v>0</v>
      </c>
      <c r="G313" s="79">
        <v>0</v>
      </c>
      <c r="H313" s="79">
        <v>0</v>
      </c>
      <c r="I313" s="79">
        <v>0</v>
      </c>
      <c r="J313" s="79">
        <v>0</v>
      </c>
      <c r="K313" s="79">
        <v>0</v>
      </c>
      <c r="L313" s="79">
        <v>0</v>
      </c>
      <c r="M313" s="79">
        <v>0</v>
      </c>
    </row>
    <row r="314" spans="1:13">
      <c r="A314" s="78">
        <v>1114819342</v>
      </c>
      <c r="B314" s="79">
        <v>57</v>
      </c>
      <c r="C314" s="79">
        <v>11</v>
      </c>
      <c r="D314" s="79">
        <v>10</v>
      </c>
      <c r="E314" s="79">
        <v>0</v>
      </c>
      <c r="F314" s="79">
        <v>4490000</v>
      </c>
      <c r="G314" s="79">
        <v>90000000</v>
      </c>
      <c r="H314" s="79">
        <v>22000000</v>
      </c>
      <c r="I314" s="79">
        <v>18197004</v>
      </c>
      <c r="J314" s="79">
        <v>0</v>
      </c>
      <c r="K314" s="79">
        <v>2</v>
      </c>
      <c r="L314" s="79">
        <v>3</v>
      </c>
      <c r="M314" s="79">
        <v>2</v>
      </c>
    </row>
    <row r="315" spans="1:13">
      <c r="A315" s="78">
        <v>1065613673</v>
      </c>
      <c r="B315" s="79">
        <v>79</v>
      </c>
      <c r="C315" s="79">
        <v>2</v>
      </c>
      <c r="D315" s="79">
        <v>7</v>
      </c>
      <c r="E315" s="79">
        <v>0</v>
      </c>
      <c r="F315" s="79">
        <v>2760000</v>
      </c>
      <c r="G315" s="79">
        <v>70200000</v>
      </c>
      <c r="H315" s="79">
        <v>0</v>
      </c>
      <c r="I315" s="79">
        <v>20728714</v>
      </c>
      <c r="J315" s="79">
        <v>0</v>
      </c>
      <c r="K315" s="79">
        <v>2</v>
      </c>
      <c r="L315" s="79">
        <v>6</v>
      </c>
      <c r="M315" s="79">
        <v>6</v>
      </c>
    </row>
    <row r="316" spans="1:13">
      <c r="A316" s="78">
        <v>1095823021</v>
      </c>
      <c r="B316" s="79">
        <v>66</v>
      </c>
      <c r="C316" s="79">
        <v>8</v>
      </c>
      <c r="D316" s="79">
        <v>6</v>
      </c>
      <c r="E316" s="79">
        <v>3</v>
      </c>
      <c r="F316" s="79">
        <v>6395000</v>
      </c>
      <c r="G316" s="79">
        <v>43500000</v>
      </c>
      <c r="H316" s="79">
        <v>17297752.879999999</v>
      </c>
      <c r="I316" s="79">
        <v>43248934</v>
      </c>
      <c r="J316" s="79">
        <v>0</v>
      </c>
      <c r="K316" s="79">
        <v>1</v>
      </c>
      <c r="L316" s="79">
        <v>2</v>
      </c>
      <c r="M316" s="79">
        <v>0</v>
      </c>
    </row>
    <row r="317" spans="1:13">
      <c r="A317" s="78">
        <v>55221108</v>
      </c>
      <c r="B317" s="79">
        <v>61</v>
      </c>
      <c r="C317" s="79">
        <v>8</v>
      </c>
      <c r="D317" s="79">
        <v>13</v>
      </c>
      <c r="E317" s="79">
        <v>2</v>
      </c>
      <c r="F317" s="79">
        <v>7246250</v>
      </c>
      <c r="G317" s="79">
        <v>43696826.129999995</v>
      </c>
      <c r="H317" s="79">
        <v>0</v>
      </c>
      <c r="I317" s="79">
        <v>17822774</v>
      </c>
      <c r="J317" s="79">
        <v>20000000</v>
      </c>
      <c r="K317" s="79">
        <v>4</v>
      </c>
      <c r="L317" s="79">
        <v>18</v>
      </c>
      <c r="M317" s="79">
        <v>14</v>
      </c>
    </row>
    <row r="318" spans="1:13">
      <c r="A318" s="78">
        <v>86070441</v>
      </c>
      <c r="B318" s="79">
        <v>134</v>
      </c>
      <c r="C318" s="79">
        <v>1</v>
      </c>
      <c r="D318" s="79">
        <v>9</v>
      </c>
      <c r="E318" s="79">
        <v>1</v>
      </c>
      <c r="F318" s="79">
        <v>6275000</v>
      </c>
      <c r="G318" s="79">
        <v>95700000</v>
      </c>
      <c r="H318" s="79">
        <v>0</v>
      </c>
      <c r="I318" s="79">
        <v>84039991</v>
      </c>
      <c r="J318" s="79">
        <v>0</v>
      </c>
      <c r="K318" s="79">
        <v>3</v>
      </c>
      <c r="L318" s="79">
        <v>8</v>
      </c>
      <c r="M318" s="79">
        <v>3</v>
      </c>
    </row>
    <row r="319" spans="1:13">
      <c r="A319" s="78">
        <v>1020733998</v>
      </c>
      <c r="B319" s="79">
        <v>41</v>
      </c>
      <c r="C319" s="79">
        <v>2</v>
      </c>
      <c r="D319" s="79">
        <v>7</v>
      </c>
      <c r="E319" s="79">
        <v>2</v>
      </c>
      <c r="F319" s="79">
        <v>5535000</v>
      </c>
      <c r="G319" s="79">
        <v>45300000</v>
      </c>
      <c r="H319" s="79">
        <v>82962147.819999993</v>
      </c>
      <c r="I319" s="79">
        <v>20635000</v>
      </c>
      <c r="J319" s="79">
        <v>0</v>
      </c>
      <c r="K319" s="79">
        <v>0</v>
      </c>
      <c r="L319" s="79">
        <v>16</v>
      </c>
      <c r="M319" s="79">
        <v>0</v>
      </c>
    </row>
    <row r="320" spans="1:13">
      <c r="A320" s="78">
        <v>1102848741</v>
      </c>
      <c r="B320" s="79">
        <v>84</v>
      </c>
      <c r="C320" s="79">
        <v>0</v>
      </c>
      <c r="D320" s="79">
        <v>5</v>
      </c>
      <c r="E320" s="79">
        <v>3</v>
      </c>
      <c r="F320" s="79">
        <v>7565000</v>
      </c>
      <c r="G320" s="79">
        <v>265399999.99999997</v>
      </c>
      <c r="H320" s="79">
        <v>35000000</v>
      </c>
      <c r="I320" s="79">
        <v>4000000</v>
      </c>
      <c r="J320" s="79">
        <v>0</v>
      </c>
      <c r="K320" s="79">
        <v>5</v>
      </c>
      <c r="L320" s="79">
        <v>5</v>
      </c>
      <c r="M320" s="79">
        <v>6</v>
      </c>
    </row>
    <row r="321" spans="1:13">
      <c r="A321" s="78">
        <v>1053809183</v>
      </c>
      <c r="B321" s="79">
        <v>79</v>
      </c>
      <c r="C321" s="79">
        <v>4</v>
      </c>
      <c r="D321" s="79">
        <v>12</v>
      </c>
      <c r="E321" s="79">
        <v>0</v>
      </c>
      <c r="F321" s="79">
        <v>4960000</v>
      </c>
      <c r="G321" s="79">
        <v>105110000</v>
      </c>
      <c r="H321" s="79">
        <v>0</v>
      </c>
      <c r="I321" s="79">
        <v>56782070</v>
      </c>
      <c r="J321" s="79">
        <v>0</v>
      </c>
      <c r="K321" s="79">
        <v>3</v>
      </c>
      <c r="L321" s="79">
        <v>11</v>
      </c>
      <c r="M321" s="79">
        <v>4</v>
      </c>
    </row>
    <row r="322" spans="1:13">
      <c r="A322" s="78">
        <v>1073508522</v>
      </c>
      <c r="B322" s="79">
        <v>68</v>
      </c>
      <c r="C322" s="79">
        <v>2</v>
      </c>
      <c r="D322" s="79">
        <v>7</v>
      </c>
      <c r="E322" s="79">
        <v>4</v>
      </c>
      <c r="F322" s="79">
        <v>2250833.3333333335</v>
      </c>
      <c r="G322" s="79">
        <v>65569999.999999993</v>
      </c>
      <c r="H322" s="79">
        <v>0</v>
      </c>
      <c r="I322" s="79">
        <v>43521000</v>
      </c>
      <c r="J322" s="79">
        <v>0</v>
      </c>
      <c r="K322" s="79">
        <v>0</v>
      </c>
      <c r="L322" s="79">
        <v>5</v>
      </c>
      <c r="M322" s="79">
        <v>3</v>
      </c>
    </row>
    <row r="323" spans="1:13">
      <c r="A323" s="78">
        <v>1037586659</v>
      </c>
      <c r="B323" s="79">
        <v>37</v>
      </c>
      <c r="C323" s="79">
        <v>5</v>
      </c>
      <c r="D323" s="79">
        <v>3</v>
      </c>
      <c r="E323" s="79">
        <v>0</v>
      </c>
      <c r="F323" s="79">
        <v>6765000</v>
      </c>
      <c r="G323" s="79">
        <v>145000000</v>
      </c>
      <c r="H323" s="79">
        <v>0</v>
      </c>
      <c r="I323" s="79">
        <v>47290595</v>
      </c>
      <c r="J323" s="79">
        <v>0</v>
      </c>
      <c r="K323" s="79">
        <v>8</v>
      </c>
      <c r="L323" s="79">
        <v>10</v>
      </c>
      <c r="M323" s="79">
        <v>11</v>
      </c>
    </row>
    <row r="324" spans="1:13">
      <c r="A324" s="78">
        <v>52878312</v>
      </c>
      <c r="B324" s="79">
        <v>86</v>
      </c>
      <c r="C324" s="79">
        <v>1</v>
      </c>
      <c r="D324" s="79">
        <v>7</v>
      </c>
      <c r="E324" s="79">
        <v>1</v>
      </c>
      <c r="F324" s="79">
        <v>10640000</v>
      </c>
      <c r="G324" s="79">
        <v>208644020.78</v>
      </c>
      <c r="H324" s="79">
        <v>0</v>
      </c>
      <c r="I324" s="79">
        <v>6842000</v>
      </c>
      <c r="J324" s="79">
        <v>0</v>
      </c>
      <c r="K324" s="79">
        <v>10</v>
      </c>
      <c r="L324" s="79">
        <v>9</v>
      </c>
      <c r="M324" s="79">
        <v>10</v>
      </c>
    </row>
    <row r="325" spans="1:13">
      <c r="A325" s="78">
        <v>1116040428</v>
      </c>
      <c r="B325" s="79">
        <v>50</v>
      </c>
      <c r="C325" s="79">
        <v>2</v>
      </c>
      <c r="D325" s="79">
        <v>13</v>
      </c>
      <c r="E325" s="79">
        <v>2</v>
      </c>
      <c r="F325" s="79">
        <v>3260000</v>
      </c>
      <c r="G325" s="79">
        <v>11200000</v>
      </c>
      <c r="H325" s="79">
        <v>0</v>
      </c>
      <c r="I325" s="79">
        <v>0</v>
      </c>
      <c r="J325" s="79">
        <v>0</v>
      </c>
      <c r="K325" s="79">
        <v>2</v>
      </c>
      <c r="L325" s="79">
        <v>2</v>
      </c>
      <c r="M325" s="79">
        <v>2</v>
      </c>
    </row>
    <row r="326" spans="1:13">
      <c r="A326" s="78">
        <v>52431613</v>
      </c>
      <c r="B326" s="79">
        <v>77</v>
      </c>
      <c r="C326" s="79">
        <v>3</v>
      </c>
      <c r="D326" s="79">
        <v>5</v>
      </c>
      <c r="E326" s="79">
        <v>6</v>
      </c>
      <c r="F326" s="79">
        <v>7585000</v>
      </c>
      <c r="G326" s="79">
        <v>161300000</v>
      </c>
      <c r="H326" s="79">
        <v>25000000</v>
      </c>
      <c r="I326" s="79">
        <v>101435918</v>
      </c>
      <c r="J326" s="79">
        <v>0</v>
      </c>
      <c r="K326" s="79">
        <v>2</v>
      </c>
      <c r="L326" s="79">
        <v>7</v>
      </c>
      <c r="M326" s="79">
        <v>8</v>
      </c>
    </row>
    <row r="327" spans="1:13">
      <c r="A327" s="78">
        <v>1013625226</v>
      </c>
      <c r="B327" s="79">
        <v>71</v>
      </c>
      <c r="C327" s="79">
        <v>8</v>
      </c>
      <c r="D327" s="79">
        <v>12</v>
      </c>
      <c r="E327" s="79">
        <v>4</v>
      </c>
      <c r="F327" s="79">
        <v>9840000</v>
      </c>
      <c r="G327" s="79">
        <v>90000000</v>
      </c>
      <c r="H327" s="79">
        <v>0</v>
      </c>
      <c r="I327" s="79">
        <v>130957000</v>
      </c>
      <c r="J327" s="79">
        <v>0</v>
      </c>
      <c r="K327" s="79">
        <v>0</v>
      </c>
      <c r="L327" s="79">
        <v>2</v>
      </c>
      <c r="M327" s="79">
        <v>4</v>
      </c>
    </row>
    <row r="328" spans="1:13">
      <c r="A328" s="78">
        <v>1121830801</v>
      </c>
      <c r="B328" s="79">
        <v>36</v>
      </c>
      <c r="C328" s="79">
        <v>1</v>
      </c>
      <c r="D328" s="79">
        <v>6</v>
      </c>
      <c r="E328" s="79">
        <v>0</v>
      </c>
      <c r="F328" s="79">
        <v>9162412.5</v>
      </c>
      <c r="G328" s="79">
        <v>100200000</v>
      </c>
      <c r="H328" s="79">
        <v>0</v>
      </c>
      <c r="I328" s="79">
        <v>17804086</v>
      </c>
      <c r="J328" s="79">
        <v>0</v>
      </c>
      <c r="K328" s="79">
        <v>9</v>
      </c>
      <c r="L328" s="79">
        <v>14</v>
      </c>
      <c r="M328" s="79">
        <v>9</v>
      </c>
    </row>
    <row r="329" spans="1:13">
      <c r="A329" s="78">
        <v>1069474417</v>
      </c>
      <c r="B329" s="79">
        <v>80</v>
      </c>
      <c r="C329" s="79">
        <v>1</v>
      </c>
      <c r="D329" s="79">
        <v>12</v>
      </c>
      <c r="E329" s="79">
        <v>1</v>
      </c>
      <c r="F329" s="79">
        <v>2460000</v>
      </c>
      <c r="G329" s="79">
        <v>11200000</v>
      </c>
      <c r="H329" s="79">
        <v>0</v>
      </c>
      <c r="I329" s="79">
        <v>14324700</v>
      </c>
      <c r="J329" s="79">
        <v>0</v>
      </c>
      <c r="K329" s="79">
        <v>3</v>
      </c>
      <c r="L329" s="79">
        <v>8</v>
      </c>
      <c r="M329" s="79">
        <v>9</v>
      </c>
    </row>
    <row r="330" spans="1:13">
      <c r="A330" s="78">
        <v>1075212214</v>
      </c>
      <c r="B330" s="79">
        <v>50</v>
      </c>
      <c r="C330" s="79">
        <v>5</v>
      </c>
      <c r="D330" s="79">
        <v>13</v>
      </c>
      <c r="E330" s="79">
        <v>8</v>
      </c>
      <c r="F330" s="79">
        <v>11070000</v>
      </c>
      <c r="G330" s="79">
        <v>156300000</v>
      </c>
      <c r="H330" s="79">
        <v>46142000</v>
      </c>
      <c r="I330" s="79">
        <v>65772000</v>
      </c>
      <c r="J330" s="79">
        <v>0</v>
      </c>
      <c r="K330" s="79">
        <v>9</v>
      </c>
      <c r="L330" s="79">
        <v>9</v>
      </c>
      <c r="M330" s="79">
        <v>9</v>
      </c>
    </row>
    <row r="331" spans="1:13">
      <c r="A331" s="78">
        <v>1017190332</v>
      </c>
      <c r="B331" s="79">
        <v>65</v>
      </c>
      <c r="C331" s="79">
        <v>0</v>
      </c>
      <c r="D331" s="79">
        <v>8</v>
      </c>
      <c r="E331" s="79">
        <v>1</v>
      </c>
      <c r="F331" s="79">
        <v>10127500</v>
      </c>
      <c r="G331" s="79">
        <v>166500000</v>
      </c>
      <c r="H331" s="79">
        <v>0</v>
      </c>
      <c r="I331" s="79">
        <v>65686484</v>
      </c>
      <c r="J331" s="79">
        <v>32616000</v>
      </c>
      <c r="K331" s="79">
        <v>7</v>
      </c>
      <c r="L331" s="79">
        <v>6</v>
      </c>
      <c r="M331" s="79">
        <v>7</v>
      </c>
    </row>
    <row r="332" spans="1:13">
      <c r="A332" s="78">
        <v>1003994517</v>
      </c>
      <c r="B332" s="79">
        <v>44</v>
      </c>
      <c r="C332" s="79">
        <v>4</v>
      </c>
      <c r="D332" s="79">
        <v>13</v>
      </c>
      <c r="E332" s="79">
        <v>0</v>
      </c>
      <c r="F332" s="79">
        <v>11685000</v>
      </c>
      <c r="G332" s="79">
        <v>172692349.99000001</v>
      </c>
      <c r="H332" s="79">
        <v>0</v>
      </c>
      <c r="I332" s="79">
        <v>52600000</v>
      </c>
      <c r="J332" s="79">
        <v>0</v>
      </c>
      <c r="K332" s="79">
        <v>8</v>
      </c>
      <c r="L332" s="79">
        <v>8</v>
      </c>
      <c r="M332" s="79">
        <v>8</v>
      </c>
    </row>
    <row r="333" spans="1:13">
      <c r="A333" s="78">
        <v>67039877</v>
      </c>
      <c r="B333" s="79">
        <v>114</v>
      </c>
      <c r="C333" s="79">
        <v>10</v>
      </c>
      <c r="D333" s="79">
        <v>6</v>
      </c>
      <c r="E333" s="79">
        <v>2</v>
      </c>
      <c r="F333" s="79">
        <v>8065000</v>
      </c>
      <c r="G333" s="79">
        <v>97000000</v>
      </c>
      <c r="H333" s="79">
        <v>0</v>
      </c>
      <c r="I333" s="79">
        <v>55426636</v>
      </c>
      <c r="J333" s="79">
        <v>0</v>
      </c>
      <c r="K333" s="79">
        <v>1</v>
      </c>
      <c r="L333" s="79">
        <v>10</v>
      </c>
      <c r="M333" s="79">
        <v>9</v>
      </c>
    </row>
    <row r="334" spans="1:13">
      <c r="A334" s="78">
        <v>1032397127</v>
      </c>
      <c r="B334" s="79">
        <v>69</v>
      </c>
      <c r="C334" s="79">
        <v>2</v>
      </c>
      <c r="D334" s="79">
        <v>16</v>
      </c>
      <c r="E334" s="79">
        <v>1</v>
      </c>
      <c r="F334" s="79">
        <v>9225000</v>
      </c>
      <c r="G334" s="79">
        <v>78200000</v>
      </c>
      <c r="H334" s="79">
        <v>39000000</v>
      </c>
      <c r="I334" s="79">
        <v>28941000</v>
      </c>
      <c r="J334" s="79">
        <v>0</v>
      </c>
      <c r="K334" s="79">
        <v>6</v>
      </c>
      <c r="L334" s="79">
        <v>14</v>
      </c>
      <c r="M334" s="79">
        <v>7</v>
      </c>
    </row>
    <row r="335" spans="1:13">
      <c r="A335" s="78">
        <v>1031158854</v>
      </c>
      <c r="B335" s="79">
        <v>86</v>
      </c>
      <c r="C335" s="79">
        <v>4</v>
      </c>
      <c r="D335" s="79">
        <v>4</v>
      </c>
      <c r="E335" s="79">
        <v>2</v>
      </c>
      <c r="F335" s="79">
        <v>3690000</v>
      </c>
      <c r="G335" s="79">
        <v>0</v>
      </c>
      <c r="H335" s="79">
        <v>0</v>
      </c>
      <c r="I335" s="79">
        <v>23294000</v>
      </c>
      <c r="J335" s="79">
        <v>0</v>
      </c>
      <c r="K335" s="79">
        <v>1</v>
      </c>
      <c r="L335" s="79">
        <v>7</v>
      </c>
      <c r="M335" s="79">
        <v>6</v>
      </c>
    </row>
    <row r="336" spans="1:13">
      <c r="A336" s="78">
        <v>30333496</v>
      </c>
      <c r="B336" s="79">
        <v>69</v>
      </c>
      <c r="C336" s="79">
        <v>4</v>
      </c>
      <c r="D336" s="79">
        <v>6</v>
      </c>
      <c r="E336" s="79">
        <v>9</v>
      </c>
      <c r="F336" s="79">
        <v>1845000</v>
      </c>
      <c r="G336" s="79">
        <v>42000000</v>
      </c>
      <c r="H336" s="79">
        <v>0</v>
      </c>
      <c r="I336" s="79">
        <v>18673000</v>
      </c>
      <c r="J336" s="79">
        <v>0</v>
      </c>
      <c r="K336" s="79">
        <v>0</v>
      </c>
      <c r="L336" s="79">
        <v>0</v>
      </c>
      <c r="M336" s="79">
        <v>1</v>
      </c>
    </row>
    <row r="337" spans="1:13">
      <c r="A337" s="78">
        <v>1032459798</v>
      </c>
      <c r="B337" s="79">
        <v>63</v>
      </c>
      <c r="C337" s="79">
        <v>2</v>
      </c>
      <c r="D337" s="79">
        <v>6</v>
      </c>
      <c r="E337" s="79">
        <v>9</v>
      </c>
      <c r="F337" s="79">
        <v>5535000</v>
      </c>
      <c r="G337" s="79">
        <v>81500000</v>
      </c>
      <c r="H337" s="79">
        <v>0</v>
      </c>
      <c r="I337" s="79">
        <v>49389687</v>
      </c>
      <c r="J337" s="79">
        <v>0</v>
      </c>
      <c r="K337" s="79">
        <v>5</v>
      </c>
      <c r="L337" s="79">
        <v>8</v>
      </c>
      <c r="M337" s="79">
        <v>12</v>
      </c>
    </row>
    <row r="338" spans="1:13">
      <c r="A338" s="78">
        <v>1014210774</v>
      </c>
      <c r="B338" s="79">
        <v>48</v>
      </c>
      <c r="C338" s="79">
        <v>1</v>
      </c>
      <c r="D338" s="79">
        <v>5</v>
      </c>
      <c r="E338" s="79">
        <v>5</v>
      </c>
      <c r="F338" s="79">
        <v>457083.33333333302</v>
      </c>
      <c r="G338" s="79">
        <v>54600000</v>
      </c>
      <c r="H338" s="79">
        <v>19000000</v>
      </c>
      <c r="I338" s="79">
        <v>76151279</v>
      </c>
      <c r="J338" s="79">
        <v>0</v>
      </c>
      <c r="K338" s="79">
        <v>4</v>
      </c>
      <c r="L338" s="79">
        <v>3</v>
      </c>
      <c r="M338" s="79">
        <v>1</v>
      </c>
    </row>
    <row r="339" spans="1:13">
      <c r="A339" s="78">
        <v>1016035566</v>
      </c>
      <c r="B339" s="79">
        <v>85</v>
      </c>
      <c r="C339" s="79">
        <v>3</v>
      </c>
      <c r="D339" s="79">
        <v>2</v>
      </c>
      <c r="E339" s="79">
        <v>8</v>
      </c>
      <c r="F339" s="79">
        <v>198386.83333333337</v>
      </c>
      <c r="G339" s="79">
        <v>22200000</v>
      </c>
      <c r="H339" s="79">
        <v>25000000</v>
      </c>
      <c r="I339" s="79">
        <v>46446731</v>
      </c>
      <c r="J339" s="79">
        <v>0</v>
      </c>
      <c r="K339" s="79">
        <v>0</v>
      </c>
      <c r="L339" s="79">
        <v>0</v>
      </c>
      <c r="M339" s="79">
        <v>0</v>
      </c>
    </row>
    <row r="340" spans="1:13">
      <c r="A340" s="78">
        <v>44156232</v>
      </c>
      <c r="B340" s="79">
        <v>78</v>
      </c>
      <c r="C340" s="79">
        <v>5</v>
      </c>
      <c r="D340" s="79">
        <v>8</v>
      </c>
      <c r="E340" s="79">
        <v>2</v>
      </c>
      <c r="F340" s="79">
        <v>3741250</v>
      </c>
      <c r="G340" s="79">
        <v>55000000</v>
      </c>
      <c r="H340" s="79">
        <v>0</v>
      </c>
      <c r="I340" s="79">
        <v>38630000</v>
      </c>
      <c r="J340" s="79">
        <v>0</v>
      </c>
      <c r="K340" s="79">
        <v>3</v>
      </c>
      <c r="L340" s="79">
        <v>13</v>
      </c>
      <c r="M340" s="79">
        <v>12</v>
      </c>
    </row>
    <row r="341" spans="1:13">
      <c r="A341" s="78">
        <v>1024516153</v>
      </c>
      <c r="B341" s="79">
        <v>19</v>
      </c>
      <c r="C341" s="79">
        <v>4</v>
      </c>
      <c r="D341" s="79">
        <v>5</v>
      </c>
      <c r="E341" s="79">
        <v>0</v>
      </c>
      <c r="F341" s="79">
        <v>818000</v>
      </c>
      <c r="G341" s="79">
        <v>30400000</v>
      </c>
      <c r="H341" s="79">
        <v>0</v>
      </c>
      <c r="I341" s="79">
        <v>29734000</v>
      </c>
      <c r="J341" s="79">
        <v>0</v>
      </c>
      <c r="K341" s="79">
        <v>1</v>
      </c>
      <c r="L341" s="79">
        <v>3</v>
      </c>
      <c r="M341" s="79">
        <v>0</v>
      </c>
    </row>
    <row r="342" spans="1:13">
      <c r="A342" s="78">
        <v>1022346094</v>
      </c>
      <c r="B342" s="79">
        <v>127</v>
      </c>
      <c r="C342" s="79">
        <v>8</v>
      </c>
      <c r="D342" s="79">
        <v>5</v>
      </c>
      <c r="E342" s="79">
        <v>1</v>
      </c>
      <c r="F342" s="79">
        <v>2307284.25</v>
      </c>
      <c r="G342" s="79">
        <v>-1000000</v>
      </c>
      <c r="H342" s="79">
        <v>0</v>
      </c>
      <c r="I342" s="79">
        <v>20684793</v>
      </c>
      <c r="J342" s="79">
        <v>0</v>
      </c>
      <c r="K342" s="79">
        <v>2</v>
      </c>
      <c r="L342" s="79">
        <v>14</v>
      </c>
      <c r="M342" s="79">
        <v>4</v>
      </c>
    </row>
    <row r="343" spans="1:13">
      <c r="A343" s="78">
        <v>1015448134</v>
      </c>
      <c r="B343" s="79">
        <v>39</v>
      </c>
      <c r="C343" s="79">
        <v>2</v>
      </c>
      <c r="D343" s="79">
        <v>10</v>
      </c>
      <c r="E343" s="79">
        <v>2</v>
      </c>
      <c r="F343" s="79">
        <v>3505000</v>
      </c>
      <c r="G343" s="79">
        <v>88600000</v>
      </c>
      <c r="H343" s="79">
        <v>0</v>
      </c>
      <c r="I343" s="79">
        <v>38329676</v>
      </c>
      <c r="J343" s="79">
        <v>0</v>
      </c>
      <c r="K343" s="79">
        <v>0</v>
      </c>
      <c r="L343" s="79">
        <v>1</v>
      </c>
      <c r="M343" s="79">
        <v>0</v>
      </c>
    </row>
    <row r="344" spans="1:13">
      <c r="A344" s="78">
        <v>1014273167</v>
      </c>
      <c r="B344" s="79">
        <v>28</v>
      </c>
      <c r="C344" s="79">
        <v>5</v>
      </c>
      <c r="D344" s="79">
        <v>18</v>
      </c>
      <c r="E344" s="79">
        <v>5</v>
      </c>
      <c r="F344" s="79">
        <v>5586250</v>
      </c>
      <c r="G344" s="79">
        <v>165000000</v>
      </c>
      <c r="H344" s="79">
        <v>0</v>
      </c>
      <c r="I344" s="79">
        <v>134632000</v>
      </c>
      <c r="J344" s="79">
        <v>0</v>
      </c>
      <c r="K344" s="79">
        <v>3</v>
      </c>
      <c r="L344" s="79">
        <v>10</v>
      </c>
      <c r="M344" s="79">
        <v>1</v>
      </c>
    </row>
    <row r="345" spans="1:13">
      <c r="A345" s="78">
        <v>1152688576</v>
      </c>
      <c r="B345" s="79">
        <v>56</v>
      </c>
      <c r="C345" s="79">
        <v>2</v>
      </c>
      <c r="D345" s="79">
        <v>16</v>
      </c>
      <c r="E345" s="79">
        <v>1</v>
      </c>
      <c r="F345" s="79">
        <v>12150833.333333334</v>
      </c>
      <c r="G345" s="79">
        <v>126200000</v>
      </c>
      <c r="H345" s="79">
        <v>0</v>
      </c>
      <c r="I345" s="79">
        <v>135185095</v>
      </c>
      <c r="J345" s="79">
        <v>0</v>
      </c>
      <c r="K345" s="79">
        <v>9</v>
      </c>
      <c r="L345" s="79">
        <v>13</v>
      </c>
      <c r="M345" s="79">
        <v>10</v>
      </c>
    </row>
    <row r="346" spans="1:13">
      <c r="A346" s="78">
        <v>1037621761</v>
      </c>
      <c r="B346" s="79">
        <v>33</v>
      </c>
      <c r="C346" s="79">
        <v>2</v>
      </c>
      <c r="D346" s="79">
        <v>9</v>
      </c>
      <c r="E346" s="79">
        <v>2</v>
      </c>
      <c r="F346" s="79">
        <v>6150000</v>
      </c>
      <c r="G346" s="79">
        <v>82130000</v>
      </c>
      <c r="H346" s="79">
        <v>0</v>
      </c>
      <c r="I346" s="79">
        <v>143904409</v>
      </c>
      <c r="J346" s="79">
        <v>0</v>
      </c>
      <c r="K346" s="79">
        <v>1</v>
      </c>
      <c r="L346" s="79">
        <v>7</v>
      </c>
      <c r="M346" s="79">
        <v>2</v>
      </c>
    </row>
    <row r="347" spans="1:13">
      <c r="A347" s="78">
        <v>1024590952</v>
      </c>
      <c r="B347" s="79">
        <v>63</v>
      </c>
      <c r="C347" s="79">
        <v>5</v>
      </c>
      <c r="D347" s="79">
        <v>7</v>
      </c>
      <c r="E347" s="79">
        <v>0</v>
      </c>
      <c r="F347" s="79">
        <v>0</v>
      </c>
      <c r="G347" s="79">
        <v>0</v>
      </c>
      <c r="H347" s="79">
        <v>34000000</v>
      </c>
      <c r="I347" s="79">
        <v>15539134</v>
      </c>
      <c r="J347" s="79">
        <v>0</v>
      </c>
      <c r="K347" s="79">
        <v>1</v>
      </c>
      <c r="L347" s="79">
        <v>8</v>
      </c>
      <c r="M347" s="79">
        <v>0</v>
      </c>
    </row>
    <row r="348" spans="1:13">
      <c r="A348" s="78">
        <v>1017169122</v>
      </c>
      <c r="B348" s="79">
        <v>57</v>
      </c>
      <c r="C348" s="79">
        <v>1</v>
      </c>
      <c r="D348" s="79">
        <v>5</v>
      </c>
      <c r="E348" s="79">
        <v>2</v>
      </c>
      <c r="F348" s="79">
        <v>9243000</v>
      </c>
      <c r="G348" s="79">
        <v>142390000</v>
      </c>
      <c r="H348" s="79">
        <v>0</v>
      </c>
      <c r="I348" s="79">
        <v>73022677</v>
      </c>
      <c r="J348" s="79">
        <v>0</v>
      </c>
      <c r="K348" s="79">
        <v>8</v>
      </c>
      <c r="L348" s="79">
        <v>14</v>
      </c>
      <c r="M348" s="79">
        <v>10</v>
      </c>
    </row>
    <row r="349" spans="1:13">
      <c r="A349" s="78">
        <v>1019019613</v>
      </c>
      <c r="B349" s="79">
        <v>98</v>
      </c>
      <c r="C349" s="79">
        <v>11</v>
      </c>
      <c r="D349" s="79">
        <v>9</v>
      </c>
      <c r="E349" s="79">
        <v>1</v>
      </c>
      <c r="F349" s="79">
        <v>7045833.333333333</v>
      </c>
      <c r="G349" s="79">
        <v>16200000</v>
      </c>
      <c r="H349" s="79">
        <v>15000000</v>
      </c>
      <c r="I349" s="79">
        <v>59242003</v>
      </c>
      <c r="J349" s="79">
        <v>0</v>
      </c>
      <c r="K349" s="79">
        <v>0</v>
      </c>
      <c r="L349" s="79">
        <v>5</v>
      </c>
      <c r="M349" s="79">
        <v>5</v>
      </c>
    </row>
    <row r="350" spans="1:13">
      <c r="A350" s="78">
        <v>1020427303</v>
      </c>
      <c r="B350" s="79">
        <v>40</v>
      </c>
      <c r="C350" s="79">
        <v>3</v>
      </c>
      <c r="D350" s="79">
        <v>12</v>
      </c>
      <c r="E350" s="79">
        <v>0</v>
      </c>
      <c r="F350" s="79">
        <v>10894265.333333334</v>
      </c>
      <c r="G350" s="79">
        <v>104815603.86</v>
      </c>
      <c r="H350" s="79">
        <v>85000000</v>
      </c>
      <c r="I350" s="79">
        <v>90500800</v>
      </c>
      <c r="J350" s="79">
        <v>0</v>
      </c>
      <c r="K350" s="79">
        <v>4</v>
      </c>
      <c r="L350" s="79">
        <v>5</v>
      </c>
      <c r="M350" s="79">
        <v>5</v>
      </c>
    </row>
    <row r="351" spans="1:13">
      <c r="A351" s="78">
        <v>1018475713</v>
      </c>
      <c r="B351" s="79">
        <v>48</v>
      </c>
      <c r="C351" s="79">
        <v>1</v>
      </c>
      <c r="D351" s="79">
        <v>12</v>
      </c>
      <c r="E351" s="79">
        <v>7</v>
      </c>
      <c r="F351" s="79">
        <v>1230000</v>
      </c>
      <c r="G351" s="79">
        <v>0</v>
      </c>
      <c r="H351" s="79">
        <v>24499724.379999999</v>
      </c>
      <c r="I351" s="79">
        <v>28192000</v>
      </c>
      <c r="J351" s="79">
        <v>0</v>
      </c>
      <c r="K351" s="79">
        <v>0</v>
      </c>
      <c r="L351" s="79">
        <v>6</v>
      </c>
      <c r="M351" s="79">
        <v>4</v>
      </c>
    </row>
    <row r="352" spans="1:13">
      <c r="A352" s="78">
        <v>57466761</v>
      </c>
      <c r="B352" s="79">
        <v>37</v>
      </c>
      <c r="C352" s="79">
        <v>3</v>
      </c>
      <c r="D352" s="79">
        <v>6</v>
      </c>
      <c r="E352" s="79">
        <v>0</v>
      </c>
      <c r="F352" s="79">
        <v>9532500</v>
      </c>
      <c r="G352" s="79">
        <v>126900000</v>
      </c>
      <c r="H352" s="79">
        <v>0</v>
      </c>
      <c r="I352" s="79">
        <v>15850000</v>
      </c>
      <c r="J352" s="79">
        <v>0</v>
      </c>
      <c r="K352" s="79">
        <v>1</v>
      </c>
      <c r="L352" s="79">
        <v>9</v>
      </c>
      <c r="M352" s="79">
        <v>1</v>
      </c>
    </row>
    <row r="353" spans="1:13">
      <c r="A353" s="78">
        <v>1075227846</v>
      </c>
      <c r="B353" s="79">
        <v>36</v>
      </c>
      <c r="C353" s="79">
        <v>0</v>
      </c>
      <c r="D353" s="79">
        <v>11</v>
      </c>
      <c r="E353" s="79">
        <v>0</v>
      </c>
      <c r="F353" s="79">
        <v>7565000</v>
      </c>
      <c r="G353" s="79">
        <v>273600000</v>
      </c>
      <c r="H353" s="79">
        <v>9479940.5199999996</v>
      </c>
      <c r="I353" s="79">
        <v>101958000</v>
      </c>
      <c r="J353" s="79">
        <v>0</v>
      </c>
      <c r="K353" s="79">
        <v>7</v>
      </c>
      <c r="L353" s="79">
        <v>7</v>
      </c>
      <c r="M353" s="79">
        <v>8</v>
      </c>
    </row>
    <row r="354" spans="1:13">
      <c r="A354" s="78">
        <v>64572729</v>
      </c>
      <c r="B354" s="79">
        <v>43</v>
      </c>
      <c r="C354" s="79">
        <v>1</v>
      </c>
      <c r="D354" s="79">
        <v>2</v>
      </c>
      <c r="E354" s="79">
        <v>0</v>
      </c>
      <c r="F354" s="79">
        <v>2538955.666666667</v>
      </c>
      <c r="G354" s="79">
        <v>73000000</v>
      </c>
      <c r="H354" s="79">
        <v>0</v>
      </c>
      <c r="I354" s="79">
        <v>57714896</v>
      </c>
      <c r="J354" s="79">
        <v>0</v>
      </c>
      <c r="K354" s="79">
        <v>1</v>
      </c>
      <c r="L354" s="79">
        <v>5</v>
      </c>
      <c r="M354" s="79">
        <v>4</v>
      </c>
    </row>
    <row r="355" spans="1:13">
      <c r="A355" s="78">
        <v>1022387032</v>
      </c>
      <c r="B355" s="79">
        <v>65</v>
      </c>
      <c r="C355" s="79">
        <v>2</v>
      </c>
      <c r="D355" s="79">
        <v>2</v>
      </c>
      <c r="E355" s="79">
        <v>0</v>
      </c>
      <c r="F355" s="79">
        <v>1230000</v>
      </c>
      <c r="G355" s="79">
        <v>11800000</v>
      </c>
      <c r="H355" s="79">
        <v>0</v>
      </c>
      <c r="I355" s="79">
        <v>49688447</v>
      </c>
      <c r="J355" s="79">
        <v>0</v>
      </c>
      <c r="K355" s="79">
        <v>1</v>
      </c>
      <c r="L355" s="79">
        <v>2</v>
      </c>
      <c r="M355" s="79">
        <v>0</v>
      </c>
    </row>
    <row r="356" spans="1:13">
      <c r="A356" s="78">
        <v>1017150670</v>
      </c>
      <c r="B356" s="79">
        <v>28</v>
      </c>
      <c r="C356" s="79">
        <v>1</v>
      </c>
      <c r="D356" s="79">
        <v>5</v>
      </c>
      <c r="E356" s="79">
        <v>9</v>
      </c>
      <c r="F356" s="79">
        <v>3520725.833333333</v>
      </c>
      <c r="G356" s="79">
        <v>84500000</v>
      </c>
      <c r="H356" s="79">
        <v>0</v>
      </c>
      <c r="I356" s="79">
        <v>132425775</v>
      </c>
      <c r="J356" s="79">
        <v>0</v>
      </c>
      <c r="K356" s="79">
        <v>6</v>
      </c>
      <c r="L356" s="79">
        <v>7</v>
      </c>
      <c r="M356" s="79">
        <v>7</v>
      </c>
    </row>
    <row r="357" spans="1:13">
      <c r="A357" s="78">
        <v>1088264450</v>
      </c>
      <c r="B357" s="79">
        <v>95</v>
      </c>
      <c r="C357" s="79">
        <v>2</v>
      </c>
      <c r="D357" s="79">
        <v>14</v>
      </c>
      <c r="E357" s="79">
        <v>0</v>
      </c>
      <c r="F357" s="79">
        <v>7565000</v>
      </c>
      <c r="G357" s="79">
        <v>103300000</v>
      </c>
      <c r="H357" s="79">
        <v>0</v>
      </c>
      <c r="I357" s="79">
        <v>39021773</v>
      </c>
      <c r="J357" s="79">
        <v>0</v>
      </c>
      <c r="K357" s="79">
        <v>8</v>
      </c>
      <c r="L357" s="79">
        <v>13</v>
      </c>
      <c r="M357" s="79">
        <v>9</v>
      </c>
    </row>
    <row r="358" spans="1:13">
      <c r="A358" s="78">
        <v>1075265993</v>
      </c>
      <c r="B358" s="79">
        <v>58</v>
      </c>
      <c r="C358" s="79">
        <v>0</v>
      </c>
      <c r="D358" s="79">
        <v>13</v>
      </c>
      <c r="E358" s="79">
        <v>0</v>
      </c>
      <c r="F358" s="79">
        <v>7380000</v>
      </c>
      <c r="G358" s="79">
        <v>456980000</v>
      </c>
      <c r="H358" s="79">
        <v>72950000</v>
      </c>
      <c r="I358" s="79">
        <v>143106154</v>
      </c>
      <c r="J358" s="79">
        <v>0</v>
      </c>
      <c r="K358" s="79">
        <v>7</v>
      </c>
      <c r="L358" s="79">
        <v>8</v>
      </c>
      <c r="M358" s="79">
        <v>12</v>
      </c>
    </row>
    <row r="359" spans="1:13">
      <c r="A359" s="78">
        <v>1073700380</v>
      </c>
      <c r="B359" s="79">
        <v>54</v>
      </c>
      <c r="C359" s="79">
        <v>1</v>
      </c>
      <c r="D359" s="79">
        <v>8</v>
      </c>
      <c r="E359" s="79">
        <v>2</v>
      </c>
      <c r="F359" s="79">
        <v>6540322.75</v>
      </c>
      <c r="G359" s="79">
        <v>15000000</v>
      </c>
      <c r="H359" s="79">
        <v>0</v>
      </c>
      <c r="I359" s="79">
        <v>73889400</v>
      </c>
      <c r="J359" s="79">
        <v>0</v>
      </c>
      <c r="K359" s="79">
        <v>3</v>
      </c>
      <c r="L359" s="79">
        <v>16</v>
      </c>
      <c r="M359" s="79">
        <v>10</v>
      </c>
    </row>
    <row r="360" spans="1:13">
      <c r="A360" s="78">
        <v>1072709481</v>
      </c>
      <c r="B360" s="79">
        <v>57</v>
      </c>
      <c r="C360" s="79">
        <v>4</v>
      </c>
      <c r="D360" s="79">
        <v>5</v>
      </c>
      <c r="E360" s="79">
        <v>2</v>
      </c>
      <c r="F360" s="79">
        <v>2890940.833333333</v>
      </c>
      <c r="G360" s="79">
        <v>34355783.710000001</v>
      </c>
      <c r="H360" s="79">
        <v>0</v>
      </c>
      <c r="I360" s="79">
        <v>57185042</v>
      </c>
      <c r="J360" s="79">
        <v>0</v>
      </c>
      <c r="K360" s="79">
        <v>1</v>
      </c>
      <c r="L360" s="79">
        <v>3</v>
      </c>
      <c r="M360" s="79">
        <v>2</v>
      </c>
    </row>
    <row r="361" spans="1:13">
      <c r="A361" s="78">
        <v>1023904082</v>
      </c>
      <c r="B361" s="79">
        <v>51</v>
      </c>
      <c r="C361" s="79">
        <v>3</v>
      </c>
      <c r="D361" s="79">
        <v>7</v>
      </c>
      <c r="E361" s="79">
        <v>4</v>
      </c>
      <c r="F361" s="79">
        <v>5475000</v>
      </c>
      <c r="G361" s="79">
        <v>86000000</v>
      </c>
      <c r="H361" s="79">
        <v>8364232.3999999985</v>
      </c>
      <c r="I361" s="79">
        <v>90864424</v>
      </c>
      <c r="J361" s="79">
        <v>0</v>
      </c>
      <c r="K361" s="79">
        <v>2</v>
      </c>
      <c r="L361" s="79">
        <v>9</v>
      </c>
      <c r="M361" s="79">
        <v>7</v>
      </c>
    </row>
    <row r="362" spans="1:13">
      <c r="A362" s="78">
        <v>55058995</v>
      </c>
      <c r="B362" s="79">
        <v>94</v>
      </c>
      <c r="C362" s="79">
        <v>5</v>
      </c>
      <c r="D362" s="79">
        <v>9</v>
      </c>
      <c r="E362" s="79">
        <v>2</v>
      </c>
      <c r="F362" s="79">
        <v>4933502.083333333</v>
      </c>
      <c r="G362" s="79">
        <v>13000000</v>
      </c>
      <c r="H362" s="79">
        <v>0</v>
      </c>
      <c r="I362" s="79">
        <v>56270914</v>
      </c>
      <c r="J362" s="79">
        <v>0</v>
      </c>
      <c r="K362" s="79">
        <v>0</v>
      </c>
      <c r="L362" s="79">
        <v>1</v>
      </c>
      <c r="M362" s="79">
        <v>0</v>
      </c>
    </row>
    <row r="363" spans="1:13">
      <c r="A363" s="78">
        <v>1023940901</v>
      </c>
      <c r="B363" s="79">
        <v>44</v>
      </c>
      <c r="C363" s="79">
        <v>1</v>
      </c>
      <c r="D363" s="79">
        <v>11</v>
      </c>
      <c r="E363" s="79">
        <v>4</v>
      </c>
      <c r="F363" s="79">
        <v>9840000</v>
      </c>
      <c r="G363" s="79">
        <v>41200000</v>
      </c>
      <c r="H363" s="79">
        <v>0</v>
      </c>
      <c r="I363" s="79">
        <v>36333000</v>
      </c>
      <c r="J363" s="79">
        <v>0</v>
      </c>
      <c r="K363" s="79">
        <v>4</v>
      </c>
      <c r="L363" s="79">
        <v>4</v>
      </c>
      <c r="M363" s="79">
        <v>3</v>
      </c>
    </row>
    <row r="364" spans="1:13">
      <c r="A364" s="78">
        <v>98715801</v>
      </c>
      <c r="B364" s="79">
        <v>12</v>
      </c>
      <c r="C364" s="79">
        <v>0</v>
      </c>
      <c r="D364" s="79">
        <v>6</v>
      </c>
      <c r="E364" s="79">
        <v>0</v>
      </c>
      <c r="F364" s="79">
        <v>902500</v>
      </c>
      <c r="G364" s="79">
        <v>66206695.870000005</v>
      </c>
      <c r="H364" s="79">
        <v>0</v>
      </c>
      <c r="I364" s="79">
        <v>51486000</v>
      </c>
      <c r="J364" s="79">
        <v>0</v>
      </c>
      <c r="K364" s="79">
        <v>2</v>
      </c>
      <c r="L364" s="79">
        <v>4</v>
      </c>
      <c r="M364" s="79">
        <v>8</v>
      </c>
    </row>
    <row r="365" spans="1:13">
      <c r="A365" s="78">
        <v>1000468159</v>
      </c>
      <c r="B365" s="79">
        <v>201</v>
      </c>
      <c r="C365" s="79">
        <v>3</v>
      </c>
      <c r="D365" s="79">
        <v>11</v>
      </c>
      <c r="E365" s="79">
        <v>4</v>
      </c>
      <c r="F365" s="79">
        <v>2475416.6666666665</v>
      </c>
      <c r="G365" s="79">
        <v>5300000</v>
      </c>
      <c r="H365" s="79">
        <v>4431320.3499999996</v>
      </c>
      <c r="I365" s="79">
        <v>69780340</v>
      </c>
      <c r="J365" s="79">
        <v>0</v>
      </c>
      <c r="K365" s="79">
        <v>1</v>
      </c>
      <c r="L365" s="79">
        <v>2</v>
      </c>
      <c r="M365" s="79">
        <v>1</v>
      </c>
    </row>
    <row r="366" spans="1:13">
      <c r="A366" s="78">
        <v>1024540551</v>
      </c>
      <c r="B366" s="79">
        <v>52</v>
      </c>
      <c r="C366" s="79">
        <v>3</v>
      </c>
      <c r="D366" s="79">
        <v>12</v>
      </c>
      <c r="E366" s="79">
        <v>6</v>
      </c>
      <c r="F366" s="79">
        <v>7475726</v>
      </c>
      <c r="G366" s="79">
        <v>94700000</v>
      </c>
      <c r="H366" s="79">
        <v>16500000</v>
      </c>
      <c r="I366" s="79">
        <v>111952257</v>
      </c>
      <c r="J366" s="79">
        <v>0</v>
      </c>
      <c r="K366" s="79">
        <v>5</v>
      </c>
      <c r="L366" s="79">
        <v>6</v>
      </c>
      <c r="M366" s="79">
        <v>5</v>
      </c>
    </row>
    <row r="367" spans="1:13">
      <c r="A367" s="78">
        <v>1088256620</v>
      </c>
      <c r="B367" s="79">
        <v>74</v>
      </c>
      <c r="C367" s="79">
        <v>6</v>
      </c>
      <c r="D367" s="79">
        <v>9</v>
      </c>
      <c r="E367" s="79">
        <v>10</v>
      </c>
      <c r="F367" s="79">
        <v>10560000</v>
      </c>
      <c r="G367" s="79">
        <v>50000000</v>
      </c>
      <c r="H367" s="79">
        <v>29578232.559999999</v>
      </c>
      <c r="I367" s="79">
        <v>105079714</v>
      </c>
      <c r="J367" s="79">
        <v>0</v>
      </c>
      <c r="K367" s="79">
        <v>2</v>
      </c>
      <c r="L367" s="79">
        <v>1</v>
      </c>
      <c r="M367" s="79">
        <v>2</v>
      </c>
    </row>
    <row r="368" spans="1:13">
      <c r="A368" s="78">
        <v>1088015479</v>
      </c>
      <c r="B368" s="79">
        <v>11</v>
      </c>
      <c r="C368" s="79">
        <v>0</v>
      </c>
      <c r="D368" s="79">
        <v>5</v>
      </c>
      <c r="E368" s="79">
        <v>3</v>
      </c>
      <c r="F368" s="79">
        <v>3565000</v>
      </c>
      <c r="G368" s="79">
        <v>73500000</v>
      </c>
      <c r="H368" s="79">
        <v>58100000</v>
      </c>
      <c r="I368" s="79">
        <v>29526430</v>
      </c>
      <c r="J368" s="79">
        <v>111591000</v>
      </c>
      <c r="K368" s="79">
        <v>2</v>
      </c>
      <c r="L368" s="79">
        <v>3</v>
      </c>
      <c r="M368" s="79">
        <v>2</v>
      </c>
    </row>
    <row r="369" spans="1:13">
      <c r="A369" s="78">
        <v>75106516</v>
      </c>
      <c r="B369" s="79">
        <v>38</v>
      </c>
      <c r="C369" s="79">
        <v>0</v>
      </c>
      <c r="D369" s="79">
        <v>4</v>
      </c>
      <c r="E369" s="79">
        <v>2</v>
      </c>
      <c r="F369" s="79">
        <v>789166.66666666651</v>
      </c>
      <c r="G369" s="79">
        <v>15000000</v>
      </c>
      <c r="H369" s="79">
        <v>0</v>
      </c>
      <c r="I369" s="79">
        <v>87039712</v>
      </c>
      <c r="J369" s="79">
        <v>0</v>
      </c>
      <c r="K369" s="79">
        <v>2</v>
      </c>
      <c r="L369" s="79">
        <v>4</v>
      </c>
      <c r="M369" s="79">
        <v>2</v>
      </c>
    </row>
    <row r="370" spans="1:13">
      <c r="A370" s="78">
        <v>1019018671</v>
      </c>
      <c r="B370" s="79">
        <v>29</v>
      </c>
      <c r="C370" s="79">
        <v>0</v>
      </c>
      <c r="D370" s="79">
        <v>7</v>
      </c>
      <c r="E370" s="79">
        <v>3</v>
      </c>
      <c r="F370" s="79">
        <v>2645000</v>
      </c>
      <c r="G370" s="79">
        <v>57500000</v>
      </c>
      <c r="H370" s="79">
        <v>0</v>
      </c>
      <c r="I370" s="79">
        <v>100109494</v>
      </c>
      <c r="J370" s="79">
        <v>0</v>
      </c>
      <c r="K370" s="79">
        <v>2</v>
      </c>
      <c r="L370" s="79">
        <v>2</v>
      </c>
      <c r="M370" s="79">
        <v>2</v>
      </c>
    </row>
    <row r="371" spans="1:13">
      <c r="A371" s="78">
        <v>1144130200</v>
      </c>
      <c r="B371" s="79">
        <v>44</v>
      </c>
      <c r="C371" s="79">
        <v>2</v>
      </c>
      <c r="D371" s="79">
        <v>6</v>
      </c>
      <c r="E371" s="79">
        <v>0</v>
      </c>
      <c r="F371" s="79">
        <v>1415000</v>
      </c>
      <c r="G371" s="79">
        <v>20885000</v>
      </c>
      <c r="H371" s="79">
        <v>0</v>
      </c>
      <c r="I371" s="79">
        <v>75000947</v>
      </c>
      <c r="J371" s="79">
        <v>0</v>
      </c>
      <c r="K371" s="79">
        <v>5</v>
      </c>
      <c r="L371" s="79">
        <v>6</v>
      </c>
      <c r="M371" s="79">
        <v>6</v>
      </c>
    </row>
    <row r="372" spans="1:13">
      <c r="A372" s="78">
        <v>1023004085</v>
      </c>
      <c r="B372" s="79">
        <v>114</v>
      </c>
      <c r="C372" s="79">
        <v>3</v>
      </c>
      <c r="D372" s="79">
        <v>5</v>
      </c>
      <c r="E372" s="79">
        <v>3</v>
      </c>
      <c r="F372" s="79">
        <v>0</v>
      </c>
      <c r="G372" s="79">
        <v>0</v>
      </c>
      <c r="H372" s="79">
        <v>0</v>
      </c>
      <c r="I372" s="79">
        <v>83580501</v>
      </c>
      <c r="J372" s="79">
        <v>0</v>
      </c>
      <c r="K372" s="79">
        <v>0</v>
      </c>
      <c r="L372" s="79">
        <v>1</v>
      </c>
      <c r="M372" s="79">
        <v>2</v>
      </c>
    </row>
    <row r="373" spans="1:13">
      <c r="A373" s="78">
        <v>16788624</v>
      </c>
      <c r="B373" s="79">
        <v>212</v>
      </c>
      <c r="C373" s="79">
        <v>2</v>
      </c>
      <c r="D373" s="79">
        <v>12</v>
      </c>
      <c r="E373" s="79">
        <v>4</v>
      </c>
      <c r="F373" s="79">
        <v>5535000</v>
      </c>
      <c r="G373" s="79">
        <v>47500000</v>
      </c>
      <c r="H373" s="79">
        <v>0</v>
      </c>
      <c r="I373" s="79">
        <v>76554000</v>
      </c>
      <c r="J373" s="79">
        <v>0</v>
      </c>
      <c r="K373" s="79">
        <v>3</v>
      </c>
      <c r="L373" s="79">
        <v>9</v>
      </c>
      <c r="M373" s="79">
        <v>2</v>
      </c>
    </row>
    <row r="374" spans="1:13">
      <c r="A374" s="78">
        <v>1070948005</v>
      </c>
      <c r="B374" s="79">
        <v>36</v>
      </c>
      <c r="C374" s="79">
        <v>1</v>
      </c>
      <c r="D374" s="79">
        <v>1</v>
      </c>
      <c r="E374" s="79">
        <v>0</v>
      </c>
      <c r="F374" s="79">
        <v>1415000</v>
      </c>
      <c r="G374" s="79">
        <v>0</v>
      </c>
      <c r="H374" s="79">
        <v>0</v>
      </c>
      <c r="I374" s="79">
        <v>720000</v>
      </c>
      <c r="J374" s="79">
        <v>0</v>
      </c>
      <c r="K374" s="79">
        <v>0</v>
      </c>
      <c r="L374" s="79">
        <v>0</v>
      </c>
      <c r="M374" s="79">
        <v>0</v>
      </c>
    </row>
    <row r="375" spans="1:13">
      <c r="A375" s="78">
        <v>1090465063</v>
      </c>
      <c r="B375" s="79">
        <v>0</v>
      </c>
      <c r="C375" s="79">
        <v>0</v>
      </c>
      <c r="D375" s="79">
        <v>0</v>
      </c>
      <c r="E375" s="79">
        <v>0</v>
      </c>
      <c r="F375" s="79">
        <v>0</v>
      </c>
      <c r="G375" s="79">
        <v>0</v>
      </c>
      <c r="H375" s="79">
        <v>0</v>
      </c>
      <c r="I375" s="79">
        <v>0</v>
      </c>
      <c r="J375" s="79">
        <v>0</v>
      </c>
      <c r="K375" s="79">
        <v>0</v>
      </c>
      <c r="L375" s="79">
        <v>0</v>
      </c>
      <c r="M375" s="79">
        <v>0</v>
      </c>
    </row>
    <row r="376" spans="1:13">
      <c r="A376" s="78">
        <v>35536840</v>
      </c>
      <c r="B376" s="79">
        <v>129</v>
      </c>
      <c r="C376" s="79">
        <v>7</v>
      </c>
      <c r="D376" s="79">
        <v>5</v>
      </c>
      <c r="E376" s="79">
        <v>3</v>
      </c>
      <c r="F376" s="79">
        <v>3204548.3333333335</v>
      </c>
      <c r="G376" s="79">
        <v>116880000</v>
      </c>
      <c r="H376" s="79">
        <v>0</v>
      </c>
      <c r="I376" s="79">
        <v>65028000</v>
      </c>
      <c r="J376" s="79">
        <v>40000000</v>
      </c>
      <c r="K376" s="79">
        <v>0</v>
      </c>
      <c r="L376" s="79">
        <v>1</v>
      </c>
      <c r="M376" s="79">
        <v>1</v>
      </c>
    </row>
    <row r="377" spans="1:13">
      <c r="A377" s="78">
        <v>16934969</v>
      </c>
      <c r="B377" s="79">
        <v>70</v>
      </c>
      <c r="C377" s="79">
        <v>4</v>
      </c>
      <c r="D377" s="79">
        <v>14</v>
      </c>
      <c r="E377" s="79">
        <v>3</v>
      </c>
      <c r="F377" s="79">
        <v>3895000</v>
      </c>
      <c r="G377" s="79">
        <v>140200000</v>
      </c>
      <c r="H377" s="79">
        <v>40000000</v>
      </c>
      <c r="I377" s="79">
        <v>68942711</v>
      </c>
      <c r="J377" s="79">
        <v>0</v>
      </c>
      <c r="K377" s="79">
        <v>3</v>
      </c>
      <c r="L377" s="79">
        <v>7</v>
      </c>
      <c r="M377" s="79">
        <v>3</v>
      </c>
    </row>
    <row r="378" spans="1:13">
      <c r="A378" s="78">
        <v>1014224368</v>
      </c>
      <c r="B378" s="79">
        <v>39</v>
      </c>
      <c r="C378" s="79">
        <v>2</v>
      </c>
      <c r="D378" s="79">
        <v>6</v>
      </c>
      <c r="E378" s="79">
        <v>0</v>
      </c>
      <c r="F378" s="79">
        <v>-55141</v>
      </c>
      <c r="G378" s="79">
        <v>16200000</v>
      </c>
      <c r="H378" s="79">
        <v>0</v>
      </c>
      <c r="I378" s="79">
        <v>29410000</v>
      </c>
      <c r="J378" s="79">
        <v>0</v>
      </c>
      <c r="K378" s="79">
        <v>0</v>
      </c>
      <c r="L378" s="79">
        <v>0</v>
      </c>
      <c r="M378" s="79">
        <v>0</v>
      </c>
    </row>
    <row r="379" spans="1:13">
      <c r="A379" s="78">
        <v>8104319</v>
      </c>
      <c r="B379" s="79">
        <v>13</v>
      </c>
      <c r="C379" s="79">
        <v>1</v>
      </c>
      <c r="D379" s="79">
        <v>18</v>
      </c>
      <c r="E379" s="79">
        <v>2</v>
      </c>
      <c r="F379" s="79">
        <v>3690000</v>
      </c>
      <c r="G379" s="79">
        <v>50000000</v>
      </c>
      <c r="H379" s="79">
        <v>0</v>
      </c>
      <c r="I379" s="79">
        <v>132669800</v>
      </c>
      <c r="J379" s="79">
        <v>0</v>
      </c>
      <c r="K379" s="79">
        <v>2</v>
      </c>
      <c r="L379" s="79">
        <v>4</v>
      </c>
      <c r="M379" s="79">
        <v>4</v>
      </c>
    </row>
    <row r="380" spans="1:13">
      <c r="A380" s="78">
        <v>43702565</v>
      </c>
      <c r="B380" s="79">
        <v>34</v>
      </c>
      <c r="C380" s="79">
        <v>4</v>
      </c>
      <c r="D380" s="79">
        <v>7</v>
      </c>
      <c r="E380" s="79">
        <v>2</v>
      </c>
      <c r="F380" s="79">
        <v>2460000</v>
      </c>
      <c r="G380" s="79">
        <v>94900000</v>
      </c>
      <c r="H380" s="79">
        <v>18000000</v>
      </c>
      <c r="I380" s="79">
        <v>10345000</v>
      </c>
      <c r="J380" s="79">
        <v>0</v>
      </c>
      <c r="K380" s="79">
        <v>6</v>
      </c>
      <c r="L380" s="79">
        <v>5</v>
      </c>
      <c r="M380" s="79">
        <v>7</v>
      </c>
    </row>
    <row r="381" spans="1:13">
      <c r="A381" s="78">
        <v>1118806722</v>
      </c>
      <c r="B381" s="79">
        <v>71</v>
      </c>
      <c r="C381" s="79">
        <v>4</v>
      </c>
      <c r="D381" s="79">
        <v>8</v>
      </c>
      <c r="E381" s="79">
        <v>0</v>
      </c>
      <c r="F381" s="79">
        <v>2030000</v>
      </c>
      <c r="G381" s="79">
        <v>6200000</v>
      </c>
      <c r="H381" s="79">
        <v>0</v>
      </c>
      <c r="I381" s="79">
        <v>41800000</v>
      </c>
      <c r="J381" s="79">
        <v>0</v>
      </c>
      <c r="K381" s="79">
        <v>0</v>
      </c>
      <c r="L381" s="79">
        <v>6</v>
      </c>
      <c r="M381" s="79">
        <v>13</v>
      </c>
    </row>
    <row r="382" spans="1:13">
      <c r="A382" s="78">
        <v>1088034671</v>
      </c>
      <c r="B382" s="79">
        <v>79</v>
      </c>
      <c r="C382" s="79">
        <v>1</v>
      </c>
      <c r="D382" s="79">
        <v>9</v>
      </c>
      <c r="E382" s="79">
        <v>0</v>
      </c>
      <c r="F382" s="79">
        <v>3750000</v>
      </c>
      <c r="G382" s="79">
        <v>35000000</v>
      </c>
      <c r="H382" s="79">
        <v>0</v>
      </c>
      <c r="I382" s="79">
        <v>70252948</v>
      </c>
      <c r="J382" s="79">
        <v>0</v>
      </c>
      <c r="K382" s="79">
        <v>2</v>
      </c>
      <c r="L382" s="79">
        <v>1</v>
      </c>
      <c r="M382" s="79">
        <v>2</v>
      </c>
    </row>
    <row r="383" spans="1:13">
      <c r="A383" s="78">
        <v>35353550</v>
      </c>
      <c r="B383" s="79">
        <v>59</v>
      </c>
      <c r="C383" s="79">
        <v>2</v>
      </c>
      <c r="D383" s="79">
        <v>2</v>
      </c>
      <c r="E383" s="79">
        <v>1</v>
      </c>
      <c r="F383" s="79">
        <v>3341559.1666666665</v>
      </c>
      <c r="G383" s="79">
        <v>802814.90000000037</v>
      </c>
      <c r="H383" s="79">
        <v>0</v>
      </c>
      <c r="I383" s="79">
        <v>4010900</v>
      </c>
      <c r="J383" s="79">
        <v>0</v>
      </c>
      <c r="K383" s="79">
        <v>0</v>
      </c>
      <c r="L383" s="79">
        <v>5</v>
      </c>
      <c r="M383" s="79">
        <v>2</v>
      </c>
    </row>
    <row r="384" spans="1:13">
      <c r="A384" s="78">
        <v>1140842460</v>
      </c>
      <c r="B384" s="79">
        <v>74</v>
      </c>
      <c r="C384" s="79">
        <v>4</v>
      </c>
      <c r="D384" s="79">
        <v>11</v>
      </c>
      <c r="E384" s="79">
        <v>0</v>
      </c>
      <c r="F384" s="79">
        <v>6150000</v>
      </c>
      <c r="G384" s="79">
        <v>21200000</v>
      </c>
      <c r="H384" s="79">
        <v>0</v>
      </c>
      <c r="I384" s="79">
        <v>20844000</v>
      </c>
      <c r="J384" s="79">
        <v>0</v>
      </c>
      <c r="K384" s="79">
        <v>4</v>
      </c>
      <c r="L384" s="79">
        <v>10</v>
      </c>
      <c r="M384" s="79">
        <v>11</v>
      </c>
    </row>
    <row r="385" spans="1:13">
      <c r="A385" s="78">
        <v>1030623687</v>
      </c>
      <c r="B385" s="79">
        <v>55</v>
      </c>
      <c r="C385" s="79">
        <v>2</v>
      </c>
      <c r="D385" s="79">
        <v>6</v>
      </c>
      <c r="E385" s="79">
        <v>2</v>
      </c>
      <c r="F385" s="79">
        <v>1640000</v>
      </c>
      <c r="G385" s="79">
        <v>36000000</v>
      </c>
      <c r="H385" s="79">
        <v>13528213.539999999</v>
      </c>
      <c r="I385" s="79">
        <v>28038600</v>
      </c>
      <c r="J385" s="79">
        <v>0</v>
      </c>
      <c r="K385" s="79">
        <v>1</v>
      </c>
      <c r="L385" s="79">
        <v>3</v>
      </c>
      <c r="M385" s="79">
        <v>3</v>
      </c>
    </row>
    <row r="386" spans="1:13">
      <c r="A386" s="78">
        <v>1018489502</v>
      </c>
      <c r="B386" s="79">
        <v>0</v>
      </c>
      <c r="C386" s="79">
        <v>0</v>
      </c>
      <c r="D386" s="79">
        <v>0</v>
      </c>
      <c r="E386" s="79">
        <v>3</v>
      </c>
      <c r="F386" s="79">
        <v>0</v>
      </c>
      <c r="G386" s="79">
        <v>0</v>
      </c>
      <c r="H386" s="79">
        <v>0</v>
      </c>
      <c r="I386" s="79">
        <v>0</v>
      </c>
      <c r="J386" s="79">
        <v>0</v>
      </c>
      <c r="K386" s="79">
        <v>0</v>
      </c>
      <c r="L386" s="79">
        <v>1</v>
      </c>
      <c r="M386" s="79">
        <v>3</v>
      </c>
    </row>
    <row r="387" spans="1:13">
      <c r="A387" s="78">
        <v>1128281637</v>
      </c>
      <c r="B387" s="79">
        <v>18</v>
      </c>
      <c r="C387" s="79">
        <v>1</v>
      </c>
      <c r="D387" s="79">
        <v>5</v>
      </c>
      <c r="E387" s="79">
        <v>1</v>
      </c>
      <c r="F387" s="79">
        <v>1451000</v>
      </c>
      <c r="G387" s="79">
        <v>87112406</v>
      </c>
      <c r="H387" s="79">
        <v>0</v>
      </c>
      <c r="I387" s="79">
        <v>41479000</v>
      </c>
      <c r="J387" s="79">
        <v>0</v>
      </c>
      <c r="K387" s="79">
        <v>3</v>
      </c>
      <c r="L387" s="79">
        <v>5</v>
      </c>
      <c r="M387" s="79">
        <v>4</v>
      </c>
    </row>
    <row r="388" spans="1:13">
      <c r="A388" s="78">
        <v>1140831173</v>
      </c>
      <c r="B388" s="79">
        <v>52</v>
      </c>
      <c r="C388" s="79">
        <v>0</v>
      </c>
      <c r="D388" s="79">
        <v>7</v>
      </c>
      <c r="E388" s="79">
        <v>1</v>
      </c>
      <c r="F388" s="79">
        <v>4750416.666666667</v>
      </c>
      <c r="G388" s="79">
        <v>31800000</v>
      </c>
      <c r="H388" s="79">
        <v>0</v>
      </c>
      <c r="I388" s="79">
        <v>49202334</v>
      </c>
      <c r="J388" s="79">
        <v>0</v>
      </c>
      <c r="K388" s="79">
        <v>2</v>
      </c>
      <c r="L388" s="79">
        <v>7</v>
      </c>
      <c r="M388" s="79">
        <v>13</v>
      </c>
    </row>
    <row r="389" spans="1:13">
      <c r="A389" s="78">
        <v>33366411</v>
      </c>
      <c r="B389" s="79">
        <v>94</v>
      </c>
      <c r="C389" s="79">
        <v>7</v>
      </c>
      <c r="D389" s="79">
        <v>12</v>
      </c>
      <c r="E389" s="79">
        <v>3</v>
      </c>
      <c r="F389" s="79">
        <v>6150000</v>
      </c>
      <c r="G389" s="79">
        <v>147600000</v>
      </c>
      <c r="H389" s="79">
        <v>0</v>
      </c>
      <c r="I389" s="79">
        <v>107905800</v>
      </c>
      <c r="J389" s="79">
        <v>0</v>
      </c>
      <c r="K389" s="79">
        <v>2</v>
      </c>
      <c r="L389" s="79">
        <v>2</v>
      </c>
      <c r="M389" s="79">
        <v>2</v>
      </c>
    </row>
    <row r="390" spans="1:13">
      <c r="A390" s="78">
        <v>36307362</v>
      </c>
      <c r="B390" s="79">
        <v>72</v>
      </c>
      <c r="C390" s="79">
        <v>3</v>
      </c>
      <c r="D390" s="79">
        <v>12</v>
      </c>
      <c r="E390" s="79">
        <v>0</v>
      </c>
      <c r="F390" s="79">
        <v>6765000</v>
      </c>
      <c r="G390" s="79">
        <v>157900000</v>
      </c>
      <c r="H390" s="79">
        <v>0</v>
      </c>
      <c r="I390" s="79">
        <v>98486895</v>
      </c>
      <c r="J390" s="79">
        <v>0</v>
      </c>
      <c r="K390" s="79">
        <v>5</v>
      </c>
      <c r="L390" s="79">
        <v>5</v>
      </c>
      <c r="M390" s="79">
        <v>4</v>
      </c>
    </row>
    <row r="391" spans="1:13">
      <c r="A391" s="78">
        <v>1024535146</v>
      </c>
      <c r="B391" s="79">
        <v>73</v>
      </c>
      <c r="C391" s="79">
        <v>1</v>
      </c>
      <c r="D391" s="79">
        <v>8</v>
      </c>
      <c r="E391" s="79">
        <v>0</v>
      </c>
      <c r="F391" s="79">
        <v>0</v>
      </c>
      <c r="G391" s="79">
        <v>109794868.97</v>
      </c>
      <c r="H391" s="79">
        <v>0</v>
      </c>
      <c r="I391" s="79">
        <v>4886150</v>
      </c>
      <c r="J391" s="79">
        <v>0</v>
      </c>
      <c r="K391" s="79">
        <v>1</v>
      </c>
      <c r="L391" s="79">
        <v>4</v>
      </c>
      <c r="M391" s="79">
        <v>2</v>
      </c>
    </row>
    <row r="392" spans="1:13">
      <c r="A392" s="78">
        <v>32781444</v>
      </c>
      <c r="B392" s="79">
        <v>33</v>
      </c>
      <c r="C392" s="79">
        <v>2</v>
      </c>
      <c r="D392" s="79">
        <v>9</v>
      </c>
      <c r="E392" s="79">
        <v>1</v>
      </c>
      <c r="F392" s="79">
        <v>4305000</v>
      </c>
      <c r="G392" s="79">
        <v>73000000</v>
      </c>
      <c r="H392" s="79">
        <v>0</v>
      </c>
      <c r="I392" s="79">
        <v>64839852</v>
      </c>
      <c r="J392" s="79">
        <v>0</v>
      </c>
      <c r="K392" s="79">
        <v>1</v>
      </c>
      <c r="L392" s="79">
        <v>8</v>
      </c>
      <c r="M392" s="79">
        <v>5</v>
      </c>
    </row>
    <row r="393" spans="1:13">
      <c r="A393" s="78">
        <v>23756021</v>
      </c>
      <c r="B393" s="79">
        <v>44</v>
      </c>
      <c r="C393" s="79">
        <v>0</v>
      </c>
      <c r="D393" s="79">
        <v>9</v>
      </c>
      <c r="E393" s="79">
        <v>0</v>
      </c>
      <c r="F393" s="79">
        <v>5165000</v>
      </c>
      <c r="G393" s="79">
        <v>28700000</v>
      </c>
      <c r="H393" s="79">
        <v>10193837.68</v>
      </c>
      <c r="I393" s="79">
        <v>118246438</v>
      </c>
      <c r="J393" s="79">
        <v>0</v>
      </c>
      <c r="K393" s="79">
        <v>5</v>
      </c>
      <c r="L393" s="79">
        <v>5</v>
      </c>
      <c r="M393" s="79">
        <v>6</v>
      </c>
    </row>
    <row r="394" spans="1:13">
      <c r="A394" s="78">
        <v>37616090</v>
      </c>
      <c r="B394" s="79">
        <v>82</v>
      </c>
      <c r="C394" s="79">
        <v>1</v>
      </c>
      <c r="D394" s="79">
        <v>8</v>
      </c>
      <c r="E394" s="79">
        <v>3</v>
      </c>
      <c r="F394" s="79">
        <v>3075000</v>
      </c>
      <c r="G394" s="79">
        <v>26900000</v>
      </c>
      <c r="H394" s="79">
        <v>0</v>
      </c>
      <c r="I394" s="79">
        <v>28087572</v>
      </c>
      <c r="J394" s="79">
        <v>0</v>
      </c>
      <c r="K394" s="79">
        <v>1</v>
      </c>
      <c r="L394" s="79">
        <v>9</v>
      </c>
      <c r="M394" s="79">
        <v>1</v>
      </c>
    </row>
    <row r="395" spans="1:13">
      <c r="A395" s="78">
        <v>74374120</v>
      </c>
      <c r="B395" s="79">
        <v>0</v>
      </c>
      <c r="C395" s="79">
        <v>0</v>
      </c>
      <c r="D395" s="79">
        <v>0</v>
      </c>
      <c r="E395" s="79">
        <v>0</v>
      </c>
      <c r="F395" s="79">
        <v>0</v>
      </c>
      <c r="G395" s="79">
        <v>0</v>
      </c>
      <c r="H395" s="79">
        <v>0</v>
      </c>
      <c r="I395" s="79">
        <v>0</v>
      </c>
      <c r="J395" s="79">
        <v>0</v>
      </c>
      <c r="K395" s="79">
        <v>0</v>
      </c>
      <c r="L395" s="79">
        <v>0</v>
      </c>
      <c r="M395" s="79">
        <v>0</v>
      </c>
    </row>
    <row r="396" spans="1:13">
      <c r="A396" s="78">
        <v>1094879531</v>
      </c>
      <c r="B396" s="79">
        <v>74</v>
      </c>
      <c r="C396" s="79">
        <v>3</v>
      </c>
      <c r="D396" s="79">
        <v>20</v>
      </c>
      <c r="E396" s="79">
        <v>3</v>
      </c>
      <c r="F396" s="79">
        <v>9470000</v>
      </c>
      <c r="G396" s="79">
        <v>107400000</v>
      </c>
      <c r="H396" s="79">
        <v>40000000</v>
      </c>
      <c r="I396" s="79">
        <v>80495748</v>
      </c>
      <c r="J396" s="79">
        <v>0</v>
      </c>
      <c r="K396" s="79">
        <v>4</v>
      </c>
      <c r="L396" s="79">
        <v>11</v>
      </c>
      <c r="M396" s="79">
        <v>11</v>
      </c>
    </row>
    <row r="397" spans="1:13">
      <c r="A397" s="78">
        <v>1010207855</v>
      </c>
      <c r="B397" s="79">
        <v>67</v>
      </c>
      <c r="C397" s="79">
        <v>1</v>
      </c>
      <c r="D397" s="79">
        <v>12</v>
      </c>
      <c r="E397" s="79">
        <v>3</v>
      </c>
      <c r="F397" s="79">
        <v>5903400.666666667</v>
      </c>
      <c r="G397" s="79">
        <v>89589819.370000005</v>
      </c>
      <c r="H397" s="79">
        <v>4235513.92</v>
      </c>
      <c r="I397" s="79">
        <v>41939376</v>
      </c>
      <c r="J397" s="79">
        <v>0</v>
      </c>
      <c r="K397" s="79">
        <v>0</v>
      </c>
      <c r="L397" s="79">
        <v>13</v>
      </c>
      <c r="M397" s="79">
        <v>28</v>
      </c>
    </row>
    <row r="398" spans="1:13">
      <c r="A398" s="78">
        <v>1040732617</v>
      </c>
      <c r="B398" s="79">
        <v>31</v>
      </c>
      <c r="C398" s="79">
        <v>0</v>
      </c>
      <c r="D398" s="79">
        <v>5</v>
      </c>
      <c r="E398" s="79">
        <v>2</v>
      </c>
      <c r="F398" s="79">
        <v>6652000</v>
      </c>
      <c r="G398" s="79">
        <v>6000000</v>
      </c>
      <c r="H398" s="79">
        <v>0</v>
      </c>
      <c r="I398" s="79">
        <v>58255283</v>
      </c>
      <c r="J398" s="79">
        <v>0</v>
      </c>
      <c r="K398" s="79">
        <v>4</v>
      </c>
      <c r="L398" s="79">
        <v>4</v>
      </c>
      <c r="M398" s="79">
        <v>4</v>
      </c>
    </row>
    <row r="399" spans="1:13">
      <c r="A399" s="78">
        <v>1020754373</v>
      </c>
      <c r="B399" s="79">
        <v>77</v>
      </c>
      <c r="C399" s="79">
        <v>3</v>
      </c>
      <c r="D399" s="79">
        <v>10</v>
      </c>
      <c r="E399" s="79">
        <v>2</v>
      </c>
      <c r="F399" s="79">
        <v>4305000</v>
      </c>
      <c r="G399" s="79">
        <v>30000000</v>
      </c>
      <c r="H399" s="79">
        <v>0</v>
      </c>
      <c r="I399" s="79">
        <v>30590000</v>
      </c>
      <c r="J399" s="79">
        <v>0</v>
      </c>
      <c r="K399" s="79">
        <v>2</v>
      </c>
      <c r="L399" s="79">
        <v>7</v>
      </c>
      <c r="M399" s="79">
        <v>1</v>
      </c>
    </row>
    <row r="400" spans="1:13">
      <c r="A400" s="78">
        <v>1143839146</v>
      </c>
      <c r="B400" s="79">
        <v>73</v>
      </c>
      <c r="C400" s="79">
        <v>6</v>
      </c>
      <c r="D400" s="79">
        <v>13</v>
      </c>
      <c r="E400" s="79">
        <v>5</v>
      </c>
      <c r="F400" s="79">
        <v>12912850.916666666</v>
      </c>
      <c r="G400" s="79">
        <v>244800000</v>
      </c>
      <c r="H400" s="79">
        <v>0</v>
      </c>
      <c r="I400" s="79">
        <v>97403400</v>
      </c>
      <c r="J400" s="79">
        <v>0</v>
      </c>
      <c r="K400" s="79">
        <v>6</v>
      </c>
      <c r="L400" s="79">
        <v>14</v>
      </c>
      <c r="M400" s="79">
        <v>13</v>
      </c>
    </row>
    <row r="401" spans="1:13">
      <c r="A401" s="78">
        <v>1023925105</v>
      </c>
      <c r="B401" s="79">
        <v>65</v>
      </c>
      <c r="C401" s="79">
        <v>5</v>
      </c>
      <c r="D401" s="79">
        <v>12</v>
      </c>
      <c r="E401" s="79">
        <v>12</v>
      </c>
      <c r="F401" s="79">
        <v>615000</v>
      </c>
      <c r="G401" s="79">
        <v>108700000</v>
      </c>
      <c r="H401" s="79">
        <v>0</v>
      </c>
      <c r="I401" s="79">
        <v>93017458</v>
      </c>
      <c r="J401" s="79">
        <v>0</v>
      </c>
      <c r="K401" s="79">
        <v>0</v>
      </c>
      <c r="L401" s="79">
        <v>10</v>
      </c>
      <c r="M401" s="79">
        <v>0</v>
      </c>
    </row>
    <row r="402" spans="1:13">
      <c r="A402" s="78">
        <v>94501508</v>
      </c>
      <c r="B402" s="79">
        <v>70</v>
      </c>
      <c r="C402" s="79">
        <v>6</v>
      </c>
      <c r="D402" s="79">
        <v>13</v>
      </c>
      <c r="E402" s="79">
        <v>2</v>
      </c>
      <c r="F402" s="79">
        <v>7010000</v>
      </c>
      <c r="G402" s="79">
        <v>179574507.84999999</v>
      </c>
      <c r="H402" s="79">
        <v>69500000</v>
      </c>
      <c r="I402" s="79">
        <v>46035219</v>
      </c>
      <c r="J402" s="79">
        <v>0</v>
      </c>
      <c r="K402" s="79">
        <v>5</v>
      </c>
      <c r="L402" s="79">
        <v>9</v>
      </c>
      <c r="M402" s="79">
        <v>5</v>
      </c>
    </row>
    <row r="403" spans="1:13">
      <c r="A403" s="78">
        <v>27604620</v>
      </c>
      <c r="B403" s="79">
        <v>83</v>
      </c>
      <c r="C403" s="79">
        <v>3</v>
      </c>
      <c r="D403" s="79">
        <v>16</v>
      </c>
      <c r="E403" s="79">
        <v>4</v>
      </c>
      <c r="F403" s="79">
        <v>7607500</v>
      </c>
      <c r="G403" s="79">
        <v>84320000</v>
      </c>
      <c r="H403" s="79">
        <v>64000000</v>
      </c>
      <c r="I403" s="79">
        <v>41356845</v>
      </c>
      <c r="J403" s="79">
        <v>0</v>
      </c>
      <c r="K403" s="79">
        <v>6</v>
      </c>
      <c r="L403" s="79">
        <v>17</v>
      </c>
      <c r="M403" s="79">
        <v>19</v>
      </c>
    </row>
    <row r="404" spans="1:13">
      <c r="A404" s="78">
        <v>1010228073</v>
      </c>
      <c r="B404" s="79">
        <v>61</v>
      </c>
      <c r="C404" s="79">
        <v>6</v>
      </c>
      <c r="D404" s="79">
        <v>3</v>
      </c>
      <c r="E404" s="79">
        <v>1</v>
      </c>
      <c r="F404" s="79">
        <v>2252657.6666666665</v>
      </c>
      <c r="G404" s="79">
        <v>11200000</v>
      </c>
      <c r="H404" s="79">
        <v>0</v>
      </c>
      <c r="I404" s="79">
        <v>19990000</v>
      </c>
      <c r="J404" s="79">
        <v>0</v>
      </c>
      <c r="K404" s="79">
        <v>0</v>
      </c>
      <c r="L404" s="79">
        <v>9</v>
      </c>
      <c r="M404" s="79">
        <v>2</v>
      </c>
    </row>
    <row r="405" spans="1:13">
      <c r="A405" s="78">
        <v>1020775280</v>
      </c>
      <c r="B405" s="79">
        <v>62</v>
      </c>
      <c r="C405" s="79">
        <v>2</v>
      </c>
      <c r="D405" s="79">
        <v>5</v>
      </c>
      <c r="E405" s="79">
        <v>0</v>
      </c>
      <c r="F405" s="79">
        <v>2645000</v>
      </c>
      <c r="G405" s="79">
        <v>50000000</v>
      </c>
      <c r="H405" s="79">
        <v>0</v>
      </c>
      <c r="I405" s="79">
        <v>9142400</v>
      </c>
      <c r="J405" s="79">
        <v>0</v>
      </c>
      <c r="K405" s="79">
        <v>3</v>
      </c>
      <c r="L405" s="79">
        <v>0</v>
      </c>
      <c r="M405" s="79">
        <v>0</v>
      </c>
    </row>
    <row r="406" spans="1:13">
      <c r="A406" s="78">
        <v>1030526284</v>
      </c>
      <c r="B406" s="79">
        <v>50</v>
      </c>
      <c r="C406" s="79">
        <v>1</v>
      </c>
      <c r="D406" s="79">
        <v>12</v>
      </c>
      <c r="E406" s="79">
        <v>6</v>
      </c>
      <c r="F406" s="79">
        <v>4675000</v>
      </c>
      <c r="G406" s="79">
        <v>92200000</v>
      </c>
      <c r="H406" s="79">
        <v>0</v>
      </c>
      <c r="I406" s="79">
        <v>59772206</v>
      </c>
      <c r="J406" s="79">
        <v>0</v>
      </c>
      <c r="K406" s="79">
        <v>0</v>
      </c>
      <c r="L406" s="79">
        <v>10</v>
      </c>
      <c r="M406" s="79">
        <v>3</v>
      </c>
    </row>
    <row r="407" spans="1:13">
      <c r="A407" s="78">
        <v>1057590731</v>
      </c>
      <c r="B407" s="79">
        <v>41</v>
      </c>
      <c r="C407" s="79">
        <v>1</v>
      </c>
      <c r="D407" s="79">
        <v>7</v>
      </c>
      <c r="E407" s="79">
        <v>11</v>
      </c>
      <c r="F407" s="79">
        <v>7995000</v>
      </c>
      <c r="G407" s="79">
        <v>144200000</v>
      </c>
      <c r="H407" s="79">
        <v>22552525.240000002</v>
      </c>
      <c r="I407" s="79">
        <v>110224323</v>
      </c>
      <c r="J407" s="79">
        <v>9590000</v>
      </c>
      <c r="K407" s="79">
        <v>5</v>
      </c>
      <c r="L407" s="79">
        <v>6</v>
      </c>
      <c r="M407" s="79">
        <v>6</v>
      </c>
    </row>
    <row r="408" spans="1:13">
      <c r="A408" s="78">
        <v>1030541637</v>
      </c>
      <c r="B408" s="79">
        <v>98</v>
      </c>
      <c r="C408" s="79">
        <v>5</v>
      </c>
      <c r="D408" s="79">
        <v>9</v>
      </c>
      <c r="E408" s="79">
        <v>8</v>
      </c>
      <c r="F408" s="79">
        <v>11070000</v>
      </c>
      <c r="G408" s="79">
        <v>109900000</v>
      </c>
      <c r="H408" s="79">
        <v>0</v>
      </c>
      <c r="I408" s="79">
        <v>146098000</v>
      </c>
      <c r="J408" s="79">
        <v>0</v>
      </c>
      <c r="K408" s="79">
        <v>2</v>
      </c>
      <c r="L408" s="79">
        <v>1</v>
      </c>
      <c r="M408" s="79">
        <v>2</v>
      </c>
    </row>
    <row r="409" spans="1:13">
      <c r="A409" s="78">
        <v>55304355</v>
      </c>
      <c r="B409" s="79">
        <v>51</v>
      </c>
      <c r="C409" s="79">
        <v>1</v>
      </c>
      <c r="D409" s="79">
        <v>5</v>
      </c>
      <c r="E409" s="79">
        <v>2</v>
      </c>
      <c r="F409" s="79">
        <v>1845000</v>
      </c>
      <c r="G409" s="79">
        <v>17000000</v>
      </c>
      <c r="H409" s="79">
        <v>21018248.009999998</v>
      </c>
      <c r="I409" s="79">
        <v>38807087</v>
      </c>
      <c r="J409" s="79">
        <v>0</v>
      </c>
      <c r="K409" s="79">
        <v>2</v>
      </c>
      <c r="L409" s="79">
        <v>12</v>
      </c>
      <c r="M409" s="79">
        <v>2</v>
      </c>
    </row>
    <row r="410" spans="1:13">
      <c r="A410" s="78">
        <v>52282393</v>
      </c>
      <c r="B410" s="79">
        <v>66</v>
      </c>
      <c r="C410" s="79">
        <v>13</v>
      </c>
      <c r="D410" s="79">
        <v>11</v>
      </c>
      <c r="E410" s="79">
        <v>5</v>
      </c>
      <c r="F410" s="79">
        <v>4138000</v>
      </c>
      <c r="G410" s="79">
        <v>35000000</v>
      </c>
      <c r="H410" s="79">
        <v>31326504.469999999</v>
      </c>
      <c r="I410" s="79">
        <v>89216623</v>
      </c>
      <c r="J410" s="79">
        <v>0</v>
      </c>
      <c r="K410" s="79">
        <v>7</v>
      </c>
      <c r="L410" s="79">
        <v>5</v>
      </c>
      <c r="M410" s="79">
        <v>14</v>
      </c>
    </row>
    <row r="411" spans="1:13">
      <c r="A411" s="78">
        <v>1130681417</v>
      </c>
      <c r="B411" s="79">
        <v>132</v>
      </c>
      <c r="C411" s="79">
        <v>8</v>
      </c>
      <c r="D411" s="79">
        <v>21</v>
      </c>
      <c r="E411" s="79">
        <v>4</v>
      </c>
      <c r="F411" s="79">
        <v>1660000</v>
      </c>
      <c r="G411" s="79">
        <v>36000000</v>
      </c>
      <c r="H411" s="79">
        <v>0</v>
      </c>
      <c r="I411" s="79">
        <v>161799883</v>
      </c>
      <c r="J411" s="79">
        <v>0</v>
      </c>
      <c r="K411" s="79">
        <v>3</v>
      </c>
      <c r="L411" s="79">
        <v>6</v>
      </c>
      <c r="M411" s="79">
        <v>4</v>
      </c>
    </row>
    <row r="412" spans="1:13">
      <c r="A412" s="78">
        <v>1072426927</v>
      </c>
      <c r="B412" s="79">
        <v>71</v>
      </c>
      <c r="C412" s="79">
        <v>1</v>
      </c>
      <c r="D412" s="79">
        <v>9</v>
      </c>
      <c r="E412" s="79">
        <v>1</v>
      </c>
      <c r="F412" s="79">
        <v>5720000</v>
      </c>
      <c r="G412" s="79">
        <v>76000000</v>
      </c>
      <c r="H412" s="79">
        <v>20000000</v>
      </c>
      <c r="I412" s="79">
        <v>42464000</v>
      </c>
      <c r="J412" s="79">
        <v>0</v>
      </c>
      <c r="K412" s="79">
        <v>3</v>
      </c>
      <c r="L412" s="79">
        <v>18</v>
      </c>
      <c r="M412" s="79">
        <v>10</v>
      </c>
    </row>
    <row r="413" spans="1:13">
      <c r="A413" s="78">
        <v>1005148916</v>
      </c>
      <c r="B413" s="79">
        <v>72</v>
      </c>
      <c r="C413" s="79">
        <v>5</v>
      </c>
      <c r="D413" s="79">
        <v>12</v>
      </c>
      <c r="E413" s="79">
        <v>4</v>
      </c>
      <c r="F413" s="79">
        <v>4245000</v>
      </c>
      <c r="G413" s="79">
        <v>29700000</v>
      </c>
      <c r="H413" s="79">
        <v>16000000</v>
      </c>
      <c r="I413" s="79">
        <v>17039000</v>
      </c>
      <c r="J413" s="79">
        <v>0</v>
      </c>
      <c r="K413" s="79">
        <v>2</v>
      </c>
      <c r="L413" s="79">
        <v>11</v>
      </c>
      <c r="M413" s="79">
        <v>5</v>
      </c>
    </row>
    <row r="414" spans="1:13">
      <c r="A414" s="78">
        <v>1130617338</v>
      </c>
      <c r="B414" s="79">
        <v>11</v>
      </c>
      <c r="C414" s="79">
        <v>1</v>
      </c>
      <c r="D414" s="79">
        <v>4</v>
      </c>
      <c r="E414" s="79">
        <v>3</v>
      </c>
      <c r="F414" s="79">
        <v>3075000</v>
      </c>
      <c r="G414" s="79">
        <v>103000000</v>
      </c>
      <c r="H414" s="79">
        <v>13000000</v>
      </c>
      <c r="I414" s="79">
        <v>23122670</v>
      </c>
      <c r="J414" s="79">
        <v>0</v>
      </c>
      <c r="K414" s="79">
        <v>4</v>
      </c>
      <c r="L414" s="79">
        <v>4</v>
      </c>
      <c r="M414" s="79">
        <v>4</v>
      </c>
    </row>
    <row r="415" spans="1:13">
      <c r="A415" s="78">
        <v>1144052933</v>
      </c>
      <c r="B415" s="79">
        <v>70</v>
      </c>
      <c r="C415" s="79">
        <v>0</v>
      </c>
      <c r="D415" s="79">
        <v>12</v>
      </c>
      <c r="E415" s="79">
        <v>0</v>
      </c>
      <c r="F415" s="79">
        <v>6335000</v>
      </c>
      <c r="G415" s="79">
        <v>61000000</v>
      </c>
      <c r="H415" s="79">
        <v>27496151.43</v>
      </c>
      <c r="I415" s="79">
        <v>173654703</v>
      </c>
      <c r="J415" s="79">
        <v>0</v>
      </c>
      <c r="K415" s="79">
        <v>4</v>
      </c>
      <c r="L415" s="79">
        <v>8</v>
      </c>
      <c r="M415" s="79">
        <v>5</v>
      </c>
    </row>
    <row r="416" spans="1:13">
      <c r="A416" s="78">
        <v>1151948923</v>
      </c>
      <c r="B416" s="79">
        <v>19</v>
      </c>
      <c r="C416" s="79">
        <v>0</v>
      </c>
      <c r="D416" s="79">
        <v>5</v>
      </c>
      <c r="E416" s="79">
        <v>3</v>
      </c>
      <c r="F416" s="79">
        <v>2460000</v>
      </c>
      <c r="G416" s="79">
        <v>30000000</v>
      </c>
      <c r="H416" s="79">
        <v>0</v>
      </c>
      <c r="I416" s="79">
        <v>116783698</v>
      </c>
      <c r="J416" s="79">
        <v>0</v>
      </c>
      <c r="K416" s="79">
        <v>1</v>
      </c>
      <c r="L416" s="79">
        <v>1</v>
      </c>
      <c r="M416" s="79">
        <v>1</v>
      </c>
    </row>
    <row r="417" spans="1:13">
      <c r="A417" s="78">
        <v>1018459690</v>
      </c>
      <c r="B417" s="79">
        <v>64</v>
      </c>
      <c r="C417" s="79">
        <v>3</v>
      </c>
      <c r="D417" s="79">
        <v>13</v>
      </c>
      <c r="E417" s="79">
        <v>2</v>
      </c>
      <c r="F417" s="79">
        <v>6910874</v>
      </c>
      <c r="G417" s="79">
        <v>91978996.049999997</v>
      </c>
      <c r="H417" s="79">
        <v>0</v>
      </c>
      <c r="I417" s="79">
        <v>55833525</v>
      </c>
      <c r="J417" s="79">
        <v>0</v>
      </c>
      <c r="K417" s="79">
        <v>8</v>
      </c>
      <c r="L417" s="79">
        <v>4</v>
      </c>
      <c r="M417" s="79">
        <v>2</v>
      </c>
    </row>
    <row r="418" spans="1:13">
      <c r="A418" s="78">
        <v>1088292705</v>
      </c>
      <c r="B418" s="79">
        <v>70</v>
      </c>
      <c r="C418" s="79">
        <v>4</v>
      </c>
      <c r="D418" s="79">
        <v>13</v>
      </c>
      <c r="E418" s="79">
        <v>4</v>
      </c>
      <c r="F418" s="79">
        <v>12255315.833333334</v>
      </c>
      <c r="G418" s="79">
        <v>109995454.09</v>
      </c>
      <c r="H418" s="79">
        <v>0</v>
      </c>
      <c r="I418" s="79">
        <v>88945800</v>
      </c>
      <c r="J418" s="79">
        <v>0</v>
      </c>
      <c r="K418" s="79">
        <v>6</v>
      </c>
      <c r="L418" s="79">
        <v>10</v>
      </c>
      <c r="M418" s="79">
        <v>9</v>
      </c>
    </row>
    <row r="419" spans="1:13">
      <c r="A419" s="78">
        <v>1143856254</v>
      </c>
      <c r="B419" s="79">
        <v>72</v>
      </c>
      <c r="C419" s="79">
        <v>3</v>
      </c>
      <c r="D419" s="79">
        <v>4</v>
      </c>
      <c r="E419" s="79">
        <v>3</v>
      </c>
      <c r="F419" s="79">
        <v>9040000</v>
      </c>
      <c r="G419" s="79">
        <v>80000000</v>
      </c>
      <c r="H419" s="79">
        <v>0</v>
      </c>
      <c r="I419" s="79">
        <v>114860379</v>
      </c>
      <c r="J419" s="79">
        <v>0</v>
      </c>
      <c r="K419" s="79">
        <v>6</v>
      </c>
      <c r="L419" s="79">
        <v>8</v>
      </c>
      <c r="M419" s="79">
        <v>12</v>
      </c>
    </row>
    <row r="420" spans="1:13">
      <c r="A420" s="78">
        <v>80135347</v>
      </c>
      <c r="B420" s="79">
        <v>54</v>
      </c>
      <c r="C420" s="79">
        <v>2</v>
      </c>
      <c r="D420" s="79">
        <v>12</v>
      </c>
      <c r="E420" s="79">
        <v>0</v>
      </c>
      <c r="F420" s="79">
        <v>9780000</v>
      </c>
      <c r="G420" s="79">
        <v>111370771.34</v>
      </c>
      <c r="H420" s="79">
        <v>63584398.170000002</v>
      </c>
      <c r="I420" s="79">
        <v>49903000</v>
      </c>
      <c r="J420" s="79">
        <v>0</v>
      </c>
      <c r="K420" s="79">
        <v>4</v>
      </c>
      <c r="L420" s="79">
        <v>4</v>
      </c>
      <c r="M420" s="79">
        <v>4</v>
      </c>
    </row>
    <row r="421" spans="1:13">
      <c r="A421" s="78">
        <v>1064989604</v>
      </c>
      <c r="B421" s="79">
        <v>59</v>
      </c>
      <c r="C421" s="79">
        <v>1</v>
      </c>
      <c r="D421" s="79">
        <v>2</v>
      </c>
      <c r="E421" s="79">
        <v>0</v>
      </c>
      <c r="F421" s="79">
        <v>1266000</v>
      </c>
      <c r="G421" s="79">
        <v>43640000</v>
      </c>
      <c r="H421" s="79">
        <v>0</v>
      </c>
      <c r="I421" s="79">
        <v>22143228</v>
      </c>
      <c r="J421" s="79">
        <v>0</v>
      </c>
      <c r="K421" s="79">
        <v>0</v>
      </c>
      <c r="L421" s="79">
        <v>5</v>
      </c>
      <c r="M421" s="79">
        <v>5</v>
      </c>
    </row>
    <row r="422" spans="1:13">
      <c r="A422" s="78">
        <v>1140836571</v>
      </c>
      <c r="B422" s="79">
        <v>25</v>
      </c>
      <c r="C422" s="79">
        <v>5</v>
      </c>
      <c r="D422" s="79">
        <v>10</v>
      </c>
      <c r="E422" s="79">
        <v>3</v>
      </c>
      <c r="F422" s="79">
        <v>185000</v>
      </c>
      <c r="G422" s="79">
        <v>1981022.83</v>
      </c>
      <c r="H422" s="79">
        <v>0</v>
      </c>
      <c r="I422" s="79">
        <v>39903596</v>
      </c>
      <c r="J422" s="79">
        <v>0</v>
      </c>
      <c r="K422" s="79">
        <v>2</v>
      </c>
      <c r="L422" s="79">
        <v>8</v>
      </c>
      <c r="M422" s="79">
        <v>7</v>
      </c>
    </row>
    <row r="423" spans="1:13">
      <c r="A423" s="78">
        <v>1225092537</v>
      </c>
      <c r="B423" s="79">
        <v>45</v>
      </c>
      <c r="C423" s="79">
        <v>2</v>
      </c>
      <c r="D423" s="79">
        <v>6</v>
      </c>
      <c r="E423" s="79">
        <v>5</v>
      </c>
      <c r="F423" s="79">
        <v>2293000</v>
      </c>
      <c r="G423" s="79">
        <v>55350699</v>
      </c>
      <c r="H423" s="79">
        <v>0</v>
      </c>
      <c r="I423" s="79">
        <v>57939359</v>
      </c>
      <c r="J423" s="79">
        <v>32799999.999999996</v>
      </c>
      <c r="K423" s="79">
        <v>1</v>
      </c>
      <c r="L423" s="79">
        <v>10</v>
      </c>
      <c r="M423" s="79">
        <v>1</v>
      </c>
    </row>
    <row r="424" spans="1:13">
      <c r="A424" s="78">
        <v>1144142801</v>
      </c>
      <c r="B424" s="79">
        <v>83</v>
      </c>
      <c r="C424" s="79">
        <v>7</v>
      </c>
      <c r="D424" s="79">
        <v>7</v>
      </c>
      <c r="E424" s="79">
        <v>1</v>
      </c>
      <c r="F424" s="79">
        <v>7121868.25</v>
      </c>
      <c r="G424" s="79">
        <v>77580500</v>
      </c>
      <c r="H424" s="79">
        <v>0</v>
      </c>
      <c r="I424" s="79">
        <v>86624865</v>
      </c>
      <c r="J424" s="79">
        <v>0</v>
      </c>
      <c r="K424" s="79">
        <v>4</v>
      </c>
      <c r="L424" s="79">
        <v>5</v>
      </c>
      <c r="M424" s="79">
        <v>23</v>
      </c>
    </row>
    <row r="425" spans="1:13">
      <c r="A425" s="78">
        <v>1047383884</v>
      </c>
      <c r="B425" s="79">
        <v>77</v>
      </c>
      <c r="C425" s="79">
        <v>2</v>
      </c>
      <c r="D425" s="79">
        <v>16</v>
      </c>
      <c r="E425" s="79">
        <v>1</v>
      </c>
      <c r="F425" s="79">
        <v>3690000</v>
      </c>
      <c r="G425" s="79">
        <v>0</v>
      </c>
      <c r="H425" s="79">
        <v>25000000</v>
      </c>
      <c r="I425" s="79">
        <v>21288476</v>
      </c>
      <c r="J425" s="79">
        <v>0</v>
      </c>
      <c r="K425" s="79">
        <v>4</v>
      </c>
      <c r="L425" s="79">
        <v>11</v>
      </c>
      <c r="M425" s="79">
        <v>15</v>
      </c>
    </row>
    <row r="426" spans="1:13">
      <c r="A426" s="78">
        <v>1015408311</v>
      </c>
      <c r="B426" s="79">
        <v>54</v>
      </c>
      <c r="C426" s="79">
        <v>6</v>
      </c>
      <c r="D426" s="79">
        <v>12</v>
      </c>
      <c r="E426" s="79">
        <v>2</v>
      </c>
      <c r="F426" s="79">
        <v>4430000</v>
      </c>
      <c r="G426" s="79">
        <v>96800000</v>
      </c>
      <c r="H426" s="79">
        <v>17938782.859999999</v>
      </c>
      <c r="I426" s="79">
        <v>46734299</v>
      </c>
      <c r="J426" s="79">
        <v>0</v>
      </c>
      <c r="K426" s="79">
        <v>7</v>
      </c>
      <c r="L426" s="79">
        <v>7</v>
      </c>
      <c r="M426" s="79">
        <v>7</v>
      </c>
    </row>
    <row r="427" spans="1:13">
      <c r="A427" s="78">
        <v>1071164818</v>
      </c>
      <c r="B427" s="79">
        <v>39</v>
      </c>
      <c r="C427" s="79">
        <v>1</v>
      </c>
      <c r="D427" s="79">
        <v>3</v>
      </c>
      <c r="E427" s="79">
        <v>1</v>
      </c>
      <c r="F427" s="79">
        <v>1845000</v>
      </c>
      <c r="G427" s="79">
        <v>45700000</v>
      </c>
      <c r="H427" s="79">
        <v>0</v>
      </c>
      <c r="I427" s="79">
        <v>37050733</v>
      </c>
      <c r="J427" s="79">
        <v>0</v>
      </c>
      <c r="K427" s="79">
        <v>1</v>
      </c>
      <c r="L427" s="79">
        <v>6</v>
      </c>
      <c r="M427" s="79">
        <v>6</v>
      </c>
    </row>
    <row r="428" spans="1:13">
      <c r="A428" s="78">
        <v>1022377076</v>
      </c>
      <c r="B428" s="79">
        <v>74</v>
      </c>
      <c r="C428" s="79">
        <v>1</v>
      </c>
      <c r="D428" s="79">
        <v>4</v>
      </c>
      <c r="E428" s="79">
        <v>1</v>
      </c>
      <c r="F428" s="79">
        <v>1825988</v>
      </c>
      <c r="G428" s="79">
        <v>26500000</v>
      </c>
      <c r="H428" s="79">
        <v>0</v>
      </c>
      <c r="I428" s="79">
        <v>17351196</v>
      </c>
      <c r="J428" s="79">
        <v>0</v>
      </c>
      <c r="K428" s="79">
        <v>1</v>
      </c>
      <c r="L428" s="79">
        <v>2</v>
      </c>
      <c r="M428" s="79">
        <v>1</v>
      </c>
    </row>
    <row r="429" spans="1:13">
      <c r="A429" s="78">
        <v>1098703717</v>
      </c>
      <c r="B429" s="79">
        <v>82</v>
      </c>
      <c r="C429" s="79">
        <v>1</v>
      </c>
      <c r="D429" s="79">
        <v>9</v>
      </c>
      <c r="E429" s="79">
        <v>3</v>
      </c>
      <c r="F429" s="79">
        <v>3093000</v>
      </c>
      <c r="G429" s="79">
        <v>90000000</v>
      </c>
      <c r="H429" s="79">
        <v>20000000</v>
      </c>
      <c r="I429" s="79">
        <v>71477090</v>
      </c>
      <c r="J429" s="79">
        <v>0</v>
      </c>
      <c r="K429" s="79">
        <v>2</v>
      </c>
      <c r="L429" s="79">
        <v>5</v>
      </c>
      <c r="M429" s="79">
        <v>5</v>
      </c>
    </row>
    <row r="430" spans="1:13">
      <c r="A430" s="78">
        <v>1143358107</v>
      </c>
      <c r="B430" s="79">
        <v>126</v>
      </c>
      <c r="C430" s="79">
        <v>1</v>
      </c>
      <c r="D430" s="79">
        <v>14</v>
      </c>
      <c r="E430" s="79">
        <v>1</v>
      </c>
      <c r="F430" s="79">
        <v>3075000</v>
      </c>
      <c r="G430" s="79">
        <v>57314169</v>
      </c>
      <c r="H430" s="79">
        <v>0</v>
      </c>
      <c r="I430" s="79">
        <v>49583000</v>
      </c>
      <c r="J430" s="79">
        <v>0</v>
      </c>
      <c r="K430" s="79">
        <v>1</v>
      </c>
      <c r="L430" s="79">
        <v>16</v>
      </c>
      <c r="M430" s="79">
        <v>16</v>
      </c>
    </row>
    <row r="431" spans="1:13">
      <c r="A431" s="78">
        <v>1098408083</v>
      </c>
      <c r="B431" s="79">
        <v>77</v>
      </c>
      <c r="C431" s="79">
        <v>0</v>
      </c>
      <c r="D431" s="79">
        <v>10</v>
      </c>
      <c r="E431" s="79">
        <v>5</v>
      </c>
      <c r="F431" s="79">
        <v>4060000</v>
      </c>
      <c r="G431" s="79">
        <v>6500000</v>
      </c>
      <c r="H431" s="79">
        <v>0</v>
      </c>
      <c r="I431" s="79">
        <v>96857490</v>
      </c>
      <c r="J431" s="79">
        <v>0</v>
      </c>
      <c r="K431" s="79">
        <v>1</v>
      </c>
      <c r="L431" s="79">
        <v>2</v>
      </c>
      <c r="M431" s="79">
        <v>0</v>
      </c>
    </row>
    <row r="432" spans="1:13">
      <c r="A432" s="78">
        <v>1064998594</v>
      </c>
      <c r="B432" s="79">
        <v>96</v>
      </c>
      <c r="C432" s="79">
        <v>6</v>
      </c>
      <c r="D432" s="79">
        <v>12</v>
      </c>
      <c r="E432" s="79">
        <v>0</v>
      </c>
      <c r="F432" s="79">
        <v>8855000</v>
      </c>
      <c r="G432" s="79">
        <v>132579615.88000001</v>
      </c>
      <c r="H432" s="79">
        <v>15000000</v>
      </c>
      <c r="I432" s="79">
        <v>5466489</v>
      </c>
      <c r="J432" s="79">
        <v>0</v>
      </c>
      <c r="K432" s="79">
        <v>5</v>
      </c>
      <c r="L432" s="79">
        <v>10</v>
      </c>
      <c r="M432" s="79">
        <v>10</v>
      </c>
    </row>
    <row r="433" spans="1:13">
      <c r="A433" s="78">
        <v>53121278</v>
      </c>
      <c r="B433" s="79">
        <v>69</v>
      </c>
      <c r="C433" s="79">
        <v>4</v>
      </c>
      <c r="D433" s="79">
        <v>12</v>
      </c>
      <c r="E433" s="79">
        <v>14</v>
      </c>
      <c r="F433" s="79">
        <v>2769704.166666667</v>
      </c>
      <c r="G433" s="79">
        <v>101400000</v>
      </c>
      <c r="H433" s="79">
        <v>4068002.1700000013</v>
      </c>
      <c r="I433" s="79">
        <v>125569823</v>
      </c>
      <c r="J433" s="79">
        <v>0</v>
      </c>
      <c r="K433" s="79">
        <v>0</v>
      </c>
      <c r="L433" s="79">
        <v>8</v>
      </c>
      <c r="M433" s="79">
        <v>9</v>
      </c>
    </row>
    <row r="434" spans="1:13">
      <c r="A434" s="78">
        <v>1030576138</v>
      </c>
      <c r="B434" s="79">
        <v>62</v>
      </c>
      <c r="C434" s="79">
        <v>4</v>
      </c>
      <c r="D434" s="79">
        <v>11</v>
      </c>
      <c r="E434" s="79">
        <v>3</v>
      </c>
      <c r="F434" s="79">
        <v>8425000</v>
      </c>
      <c r="G434" s="79">
        <v>129500000</v>
      </c>
      <c r="H434" s="79">
        <v>0</v>
      </c>
      <c r="I434" s="79">
        <v>137210185</v>
      </c>
      <c r="J434" s="79">
        <v>0</v>
      </c>
      <c r="K434" s="79">
        <v>2</v>
      </c>
      <c r="L434" s="79">
        <v>9</v>
      </c>
      <c r="M434" s="79">
        <v>23</v>
      </c>
    </row>
    <row r="435" spans="1:13">
      <c r="A435" s="78">
        <v>63549086</v>
      </c>
      <c r="B435" s="79">
        <v>53</v>
      </c>
      <c r="C435" s="79">
        <v>4</v>
      </c>
      <c r="D435" s="79">
        <v>9</v>
      </c>
      <c r="E435" s="79">
        <v>3</v>
      </c>
      <c r="F435" s="79">
        <v>7380000</v>
      </c>
      <c r="G435" s="79">
        <v>122750000</v>
      </c>
      <c r="H435" s="79">
        <v>83000000</v>
      </c>
      <c r="I435" s="79">
        <v>84941000</v>
      </c>
      <c r="J435" s="79">
        <v>0</v>
      </c>
      <c r="K435" s="79">
        <v>2</v>
      </c>
      <c r="L435" s="79">
        <v>7</v>
      </c>
      <c r="M435" s="79">
        <v>4</v>
      </c>
    </row>
    <row r="436" spans="1:13">
      <c r="A436" s="78">
        <v>1096223839</v>
      </c>
      <c r="B436" s="79">
        <v>61</v>
      </c>
      <c r="C436" s="79">
        <v>0</v>
      </c>
      <c r="D436" s="79">
        <v>3</v>
      </c>
      <c r="E436" s="79">
        <v>0</v>
      </c>
      <c r="F436" s="79">
        <v>1230000</v>
      </c>
      <c r="G436" s="79">
        <v>0</v>
      </c>
      <c r="H436" s="79">
        <v>0</v>
      </c>
      <c r="I436" s="79">
        <v>45279000</v>
      </c>
      <c r="J436" s="79">
        <v>0</v>
      </c>
      <c r="K436" s="79">
        <v>0</v>
      </c>
      <c r="L436" s="79">
        <v>4</v>
      </c>
      <c r="M436" s="79">
        <v>0</v>
      </c>
    </row>
    <row r="437" spans="1:13">
      <c r="A437" s="78">
        <v>29681212</v>
      </c>
      <c r="B437" s="79">
        <v>80</v>
      </c>
      <c r="C437" s="79">
        <v>9</v>
      </c>
      <c r="D437" s="79">
        <v>13</v>
      </c>
      <c r="E437" s="79">
        <v>1</v>
      </c>
      <c r="F437" s="79">
        <v>2448750</v>
      </c>
      <c r="G437" s="79">
        <v>63700000</v>
      </c>
      <c r="H437" s="79">
        <v>0</v>
      </c>
      <c r="I437" s="79">
        <v>50981463</v>
      </c>
      <c r="J437" s="79">
        <v>0</v>
      </c>
      <c r="K437" s="79">
        <v>3</v>
      </c>
      <c r="L437" s="79">
        <v>4</v>
      </c>
      <c r="M437" s="79">
        <v>3</v>
      </c>
    </row>
    <row r="438" spans="1:13">
      <c r="A438" s="78">
        <v>53000345</v>
      </c>
      <c r="B438" s="79">
        <v>62</v>
      </c>
      <c r="C438" s="79">
        <v>0</v>
      </c>
      <c r="D438" s="79">
        <v>16</v>
      </c>
      <c r="E438" s="79">
        <v>2</v>
      </c>
      <c r="F438" s="79">
        <v>9160500</v>
      </c>
      <c r="G438" s="79">
        <v>71000000</v>
      </c>
      <c r="H438" s="79">
        <v>17000000</v>
      </c>
      <c r="I438" s="79">
        <v>104808200</v>
      </c>
      <c r="J438" s="79">
        <v>0</v>
      </c>
      <c r="K438" s="79">
        <v>7</v>
      </c>
      <c r="L438" s="79">
        <v>9</v>
      </c>
      <c r="M438" s="79">
        <v>9</v>
      </c>
    </row>
    <row r="439" spans="1:13">
      <c r="A439" s="78">
        <v>66859870</v>
      </c>
      <c r="B439" s="79">
        <v>64</v>
      </c>
      <c r="C439" s="79">
        <v>12</v>
      </c>
      <c r="D439" s="79">
        <v>15</v>
      </c>
      <c r="E439" s="79">
        <v>2</v>
      </c>
      <c r="F439" s="79">
        <v>3690000</v>
      </c>
      <c r="G439" s="79">
        <v>28711675</v>
      </c>
      <c r="H439" s="79">
        <v>19000000</v>
      </c>
      <c r="I439" s="79">
        <v>86495884</v>
      </c>
      <c r="J439" s="79">
        <v>0</v>
      </c>
      <c r="K439" s="79">
        <v>3</v>
      </c>
      <c r="L439" s="79">
        <v>13</v>
      </c>
      <c r="M439" s="79">
        <v>11</v>
      </c>
    </row>
    <row r="440" spans="1:13">
      <c r="A440" s="78">
        <v>1043001415</v>
      </c>
      <c r="B440" s="79">
        <v>55</v>
      </c>
      <c r="C440" s="79">
        <v>9</v>
      </c>
      <c r="D440" s="79">
        <v>15</v>
      </c>
      <c r="E440" s="79">
        <v>3</v>
      </c>
      <c r="F440" s="79">
        <v>6395000</v>
      </c>
      <c r="G440" s="79">
        <v>0</v>
      </c>
      <c r="H440" s="79">
        <v>0</v>
      </c>
      <c r="I440" s="79">
        <v>38021922</v>
      </c>
      <c r="J440" s="79">
        <v>0</v>
      </c>
      <c r="K440" s="79">
        <v>4</v>
      </c>
      <c r="L440" s="79">
        <v>7</v>
      </c>
      <c r="M440" s="79">
        <v>4</v>
      </c>
    </row>
    <row r="441" spans="1:13">
      <c r="A441" s="78">
        <v>49720783</v>
      </c>
      <c r="B441" s="79">
        <v>54</v>
      </c>
      <c r="C441" s="79">
        <v>2</v>
      </c>
      <c r="D441" s="79">
        <v>11</v>
      </c>
      <c r="E441" s="79">
        <v>3</v>
      </c>
      <c r="F441" s="79">
        <v>8015000</v>
      </c>
      <c r="G441" s="79">
        <v>107700000</v>
      </c>
      <c r="H441" s="79">
        <v>0</v>
      </c>
      <c r="I441" s="79">
        <v>47122000</v>
      </c>
      <c r="J441" s="79">
        <v>0</v>
      </c>
      <c r="K441" s="79">
        <v>6</v>
      </c>
      <c r="L441" s="79">
        <v>6</v>
      </c>
      <c r="M441" s="79">
        <v>4</v>
      </c>
    </row>
    <row r="442" spans="1:13">
      <c r="A442" s="78">
        <v>1088008100</v>
      </c>
      <c r="B442" s="79">
        <v>100</v>
      </c>
      <c r="C442" s="79">
        <v>7</v>
      </c>
      <c r="D442" s="79">
        <v>13</v>
      </c>
      <c r="E442" s="79">
        <v>6</v>
      </c>
      <c r="F442" s="79">
        <v>12505000</v>
      </c>
      <c r="G442" s="79">
        <v>121500000</v>
      </c>
      <c r="H442" s="79">
        <v>0</v>
      </c>
      <c r="I442" s="79">
        <v>49700000</v>
      </c>
      <c r="J442" s="79">
        <v>0</v>
      </c>
      <c r="K442" s="79">
        <v>9</v>
      </c>
      <c r="L442" s="79">
        <v>13</v>
      </c>
      <c r="M442" s="79">
        <v>9</v>
      </c>
    </row>
    <row r="443" spans="1:13">
      <c r="A443" s="78">
        <v>1088303587</v>
      </c>
      <c r="B443" s="79">
        <v>49</v>
      </c>
      <c r="C443" s="79">
        <v>1</v>
      </c>
      <c r="D443" s="79">
        <v>13</v>
      </c>
      <c r="E443" s="79">
        <v>13</v>
      </c>
      <c r="F443" s="79">
        <v>9428000</v>
      </c>
      <c r="G443" s="79">
        <v>109200000</v>
      </c>
      <c r="H443" s="79">
        <v>21000000</v>
      </c>
      <c r="I443" s="79">
        <v>57534935</v>
      </c>
      <c r="J443" s="79">
        <v>0</v>
      </c>
      <c r="K443" s="79">
        <v>8</v>
      </c>
      <c r="L443" s="79">
        <v>14</v>
      </c>
      <c r="M443" s="79">
        <v>15</v>
      </c>
    </row>
    <row r="444" spans="1:13">
      <c r="A444" s="78">
        <v>53168083</v>
      </c>
      <c r="B444" s="79">
        <v>36</v>
      </c>
      <c r="C444" s="79">
        <v>2</v>
      </c>
      <c r="D444" s="79">
        <v>8</v>
      </c>
      <c r="E444" s="79">
        <v>0</v>
      </c>
      <c r="F444" s="79">
        <v>615000</v>
      </c>
      <c r="G444" s="79">
        <v>0</v>
      </c>
      <c r="H444" s="79">
        <v>20000000</v>
      </c>
      <c r="I444" s="79">
        <v>9179000</v>
      </c>
      <c r="J444" s="79">
        <v>0</v>
      </c>
      <c r="K444" s="79">
        <v>0</v>
      </c>
      <c r="L444" s="79">
        <v>3</v>
      </c>
      <c r="M444" s="79">
        <v>1</v>
      </c>
    </row>
    <row r="445" spans="1:13">
      <c r="A445" s="78">
        <v>49762724</v>
      </c>
      <c r="B445" s="79">
        <v>68</v>
      </c>
      <c r="C445" s="79">
        <v>1</v>
      </c>
      <c r="D445" s="79">
        <v>5</v>
      </c>
      <c r="E445" s="79">
        <v>0</v>
      </c>
      <c r="F445" s="79">
        <v>0</v>
      </c>
      <c r="G445" s="79">
        <v>0</v>
      </c>
      <c r="H445" s="79">
        <v>0</v>
      </c>
      <c r="I445" s="79">
        <v>4006285</v>
      </c>
      <c r="J445" s="79">
        <v>0</v>
      </c>
      <c r="K445" s="79">
        <v>0</v>
      </c>
      <c r="L445" s="79">
        <v>6</v>
      </c>
      <c r="M445" s="79">
        <v>4</v>
      </c>
    </row>
    <row r="446" spans="1:13">
      <c r="A446" s="78">
        <v>59826204</v>
      </c>
      <c r="B446" s="79">
        <v>69</v>
      </c>
      <c r="C446" s="79">
        <v>5</v>
      </c>
      <c r="D446" s="79">
        <v>7</v>
      </c>
      <c r="E446" s="79">
        <v>5</v>
      </c>
      <c r="F446" s="79">
        <v>12449000</v>
      </c>
      <c r="G446" s="79">
        <v>250035000</v>
      </c>
      <c r="H446" s="79">
        <v>0</v>
      </c>
      <c r="I446" s="79">
        <v>184686052</v>
      </c>
      <c r="J446" s="79">
        <v>0</v>
      </c>
      <c r="K446" s="79">
        <v>7</v>
      </c>
      <c r="L446" s="79">
        <v>11</v>
      </c>
      <c r="M446" s="79">
        <v>10</v>
      </c>
    </row>
    <row r="447" spans="1:13">
      <c r="A447" s="78">
        <v>43526336</v>
      </c>
      <c r="B447" s="79">
        <v>41</v>
      </c>
      <c r="C447" s="79">
        <v>1</v>
      </c>
      <c r="D447" s="79">
        <v>4</v>
      </c>
      <c r="E447" s="79">
        <v>8</v>
      </c>
      <c r="F447" s="79">
        <v>1230000</v>
      </c>
      <c r="G447" s="79">
        <v>66200000</v>
      </c>
      <c r="H447" s="79">
        <v>30000000</v>
      </c>
      <c r="I447" s="79">
        <v>17397000</v>
      </c>
      <c r="J447" s="79">
        <v>0</v>
      </c>
      <c r="K447" s="79">
        <v>2</v>
      </c>
      <c r="L447" s="79">
        <v>3</v>
      </c>
      <c r="M447" s="79">
        <v>4</v>
      </c>
    </row>
    <row r="448" spans="1:13">
      <c r="A448" s="78">
        <v>1016029419</v>
      </c>
      <c r="B448" s="79">
        <v>49</v>
      </c>
      <c r="C448" s="79">
        <v>3</v>
      </c>
      <c r="D448" s="79">
        <v>1</v>
      </c>
      <c r="E448" s="79">
        <v>1</v>
      </c>
      <c r="F448" s="79">
        <v>3690000</v>
      </c>
      <c r="G448" s="79">
        <v>50000000</v>
      </c>
      <c r="H448" s="79">
        <v>25000000</v>
      </c>
      <c r="I448" s="79">
        <v>566000</v>
      </c>
      <c r="J448" s="79">
        <v>0</v>
      </c>
      <c r="K448" s="79">
        <v>5</v>
      </c>
      <c r="L448" s="79">
        <v>8</v>
      </c>
      <c r="M448" s="79">
        <v>17</v>
      </c>
    </row>
    <row r="449" spans="1:13">
      <c r="A449" s="78">
        <v>1144201555</v>
      </c>
      <c r="B449" s="79">
        <v>204</v>
      </c>
      <c r="C449" s="79">
        <v>2</v>
      </c>
      <c r="D449" s="79">
        <v>6</v>
      </c>
      <c r="E449" s="79">
        <v>0</v>
      </c>
      <c r="F449" s="79">
        <v>1270000</v>
      </c>
      <c r="G449" s="79">
        <v>10000000</v>
      </c>
      <c r="H449" s="79">
        <v>52985343.600000001</v>
      </c>
      <c r="I449" s="79">
        <v>10620000</v>
      </c>
      <c r="J449" s="79">
        <v>0</v>
      </c>
      <c r="K449" s="79">
        <v>0</v>
      </c>
      <c r="L449" s="79">
        <v>1</v>
      </c>
      <c r="M449" s="79">
        <v>0</v>
      </c>
    </row>
    <row r="450" spans="1:13">
      <c r="A450" s="78">
        <v>1022324423</v>
      </c>
      <c r="B450" s="79">
        <v>38</v>
      </c>
      <c r="C450" s="79">
        <v>4</v>
      </c>
      <c r="D450" s="79">
        <v>12</v>
      </c>
      <c r="E450" s="79">
        <v>0</v>
      </c>
      <c r="F450" s="79">
        <v>-61995.75</v>
      </c>
      <c r="G450" s="79">
        <v>17600000</v>
      </c>
      <c r="H450" s="79">
        <v>15000000</v>
      </c>
      <c r="I450" s="79">
        <v>69564482</v>
      </c>
      <c r="J450" s="79">
        <v>0</v>
      </c>
      <c r="K450" s="79">
        <v>3</v>
      </c>
      <c r="L450" s="79">
        <v>10</v>
      </c>
      <c r="M450" s="79">
        <v>12</v>
      </c>
    </row>
    <row r="451" spans="1:13">
      <c r="A451" s="78">
        <v>1140855334</v>
      </c>
      <c r="B451" s="79">
        <v>44</v>
      </c>
      <c r="C451" s="79">
        <v>3</v>
      </c>
      <c r="D451" s="79">
        <v>13</v>
      </c>
      <c r="E451" s="79">
        <v>2</v>
      </c>
      <c r="F451" s="79">
        <v>1947500</v>
      </c>
      <c r="G451" s="79">
        <v>35000000</v>
      </c>
      <c r="H451" s="79">
        <v>20000000</v>
      </c>
      <c r="I451" s="79">
        <v>14957557</v>
      </c>
      <c r="J451" s="79">
        <v>0</v>
      </c>
      <c r="K451" s="79">
        <v>0</v>
      </c>
      <c r="L451" s="79">
        <v>7</v>
      </c>
      <c r="M451" s="79">
        <v>8</v>
      </c>
    </row>
    <row r="452" spans="1:13">
      <c r="A452" s="78">
        <v>1098651364</v>
      </c>
      <c r="B452" s="79">
        <v>66</v>
      </c>
      <c r="C452" s="79">
        <v>1</v>
      </c>
      <c r="D452" s="79">
        <v>12</v>
      </c>
      <c r="E452" s="79">
        <v>3</v>
      </c>
      <c r="F452" s="79">
        <v>3075000</v>
      </c>
      <c r="G452" s="79">
        <v>0</v>
      </c>
      <c r="H452" s="79">
        <v>0</v>
      </c>
      <c r="I452" s="79">
        <v>93882000</v>
      </c>
      <c r="J452" s="79">
        <v>80000000</v>
      </c>
      <c r="K452" s="79">
        <v>5</v>
      </c>
      <c r="L452" s="79">
        <v>8</v>
      </c>
      <c r="M452" s="79">
        <v>7</v>
      </c>
    </row>
    <row r="453" spans="1:13">
      <c r="A453" s="78">
        <v>35198506</v>
      </c>
      <c r="B453" s="79">
        <v>85</v>
      </c>
      <c r="C453" s="79">
        <v>7</v>
      </c>
      <c r="D453" s="79">
        <v>3</v>
      </c>
      <c r="E453" s="79">
        <v>4</v>
      </c>
      <c r="F453" s="79">
        <v>6825000</v>
      </c>
      <c r="G453" s="79">
        <v>65829449.940000005</v>
      </c>
      <c r="H453" s="79">
        <v>0</v>
      </c>
      <c r="I453" s="79">
        <v>64298449</v>
      </c>
      <c r="J453" s="79">
        <v>0</v>
      </c>
      <c r="K453" s="79">
        <v>1</v>
      </c>
      <c r="L453" s="79">
        <v>7</v>
      </c>
      <c r="M453" s="79">
        <v>13</v>
      </c>
    </row>
    <row r="454" spans="1:13">
      <c r="A454" s="78">
        <v>1108934001</v>
      </c>
      <c r="B454" s="79">
        <v>47</v>
      </c>
      <c r="C454" s="79">
        <v>6</v>
      </c>
      <c r="D454" s="79">
        <v>14</v>
      </c>
      <c r="E454" s="79">
        <v>6</v>
      </c>
      <c r="F454" s="79">
        <v>5535495.833333333</v>
      </c>
      <c r="G454" s="79">
        <v>84209777</v>
      </c>
      <c r="H454" s="79">
        <v>40500000</v>
      </c>
      <c r="I454" s="79">
        <v>51504623</v>
      </c>
      <c r="J454" s="79">
        <v>0</v>
      </c>
      <c r="K454" s="79">
        <v>8</v>
      </c>
      <c r="L454" s="79">
        <v>13</v>
      </c>
      <c r="M454" s="79">
        <v>8</v>
      </c>
    </row>
    <row r="455" spans="1:13">
      <c r="A455" s="78">
        <v>1140837022</v>
      </c>
      <c r="B455" s="79">
        <v>7</v>
      </c>
      <c r="C455" s="79">
        <v>0</v>
      </c>
      <c r="D455" s="79">
        <v>3</v>
      </c>
      <c r="E455" s="79">
        <v>0</v>
      </c>
      <c r="F455" s="79">
        <v>2890000</v>
      </c>
      <c r="G455" s="79">
        <v>27400000</v>
      </c>
      <c r="H455" s="79">
        <v>0</v>
      </c>
      <c r="I455" s="79">
        <v>11300000</v>
      </c>
      <c r="J455" s="79">
        <v>0</v>
      </c>
      <c r="K455" s="79">
        <v>0</v>
      </c>
      <c r="L455" s="79">
        <v>0</v>
      </c>
      <c r="M455" s="79">
        <v>2</v>
      </c>
    </row>
    <row r="456" spans="1:13">
      <c r="A456" s="78">
        <v>1020770948</v>
      </c>
      <c r="B456" s="79">
        <v>67</v>
      </c>
      <c r="C456" s="79">
        <v>3</v>
      </c>
      <c r="D456" s="79">
        <v>9</v>
      </c>
      <c r="E456" s="79">
        <v>7</v>
      </c>
      <c r="F456" s="79">
        <v>3690000</v>
      </c>
      <c r="G456" s="79">
        <v>8700000</v>
      </c>
      <c r="H456" s="79">
        <v>0</v>
      </c>
      <c r="I456" s="79">
        <v>89497055</v>
      </c>
      <c r="J456" s="79">
        <v>0</v>
      </c>
      <c r="K456" s="79">
        <v>1</v>
      </c>
      <c r="L456" s="79">
        <v>7</v>
      </c>
      <c r="M456" s="79">
        <v>2</v>
      </c>
    </row>
    <row r="457" spans="1:13">
      <c r="A457" s="78">
        <v>1032372097</v>
      </c>
      <c r="B457" s="79">
        <v>28</v>
      </c>
      <c r="C457" s="79">
        <v>0</v>
      </c>
      <c r="D457" s="79">
        <v>5</v>
      </c>
      <c r="E457" s="79">
        <v>0</v>
      </c>
      <c r="F457" s="79">
        <v>0</v>
      </c>
      <c r="G457" s="79">
        <v>30500000</v>
      </c>
      <c r="H457" s="79">
        <v>0</v>
      </c>
      <c r="I457" s="79">
        <v>7379571</v>
      </c>
      <c r="J457" s="79">
        <v>0</v>
      </c>
      <c r="K457" s="79">
        <v>0</v>
      </c>
      <c r="L457" s="79">
        <v>0</v>
      </c>
      <c r="M457" s="79">
        <v>1</v>
      </c>
    </row>
    <row r="458" spans="1:13">
      <c r="A458" s="78">
        <v>1032399410</v>
      </c>
      <c r="B458" s="79">
        <v>24</v>
      </c>
      <c r="C458" s="79">
        <v>0</v>
      </c>
      <c r="D458" s="79">
        <v>5</v>
      </c>
      <c r="E458" s="79">
        <v>0</v>
      </c>
      <c r="F458" s="79">
        <v>1230000</v>
      </c>
      <c r="G458" s="79">
        <v>20000000</v>
      </c>
      <c r="H458" s="79">
        <v>0</v>
      </c>
      <c r="I458" s="79">
        <v>22426692</v>
      </c>
      <c r="J458" s="79">
        <v>0</v>
      </c>
      <c r="K458" s="79">
        <v>2</v>
      </c>
      <c r="L458" s="79">
        <v>3</v>
      </c>
      <c r="M458" s="79">
        <v>1</v>
      </c>
    </row>
    <row r="459" spans="1:13">
      <c r="A459" s="78">
        <v>1140851012</v>
      </c>
      <c r="B459" s="79">
        <v>54</v>
      </c>
      <c r="C459" s="79">
        <v>0</v>
      </c>
      <c r="D459" s="79">
        <v>9</v>
      </c>
      <c r="E459" s="79">
        <v>1</v>
      </c>
      <c r="F459" s="79">
        <v>2385604.5</v>
      </c>
      <c r="G459" s="79">
        <v>11200000</v>
      </c>
      <c r="H459" s="79">
        <v>26000000</v>
      </c>
      <c r="I459" s="79">
        <v>18640399</v>
      </c>
      <c r="J459" s="79">
        <v>0</v>
      </c>
      <c r="K459" s="79">
        <v>0</v>
      </c>
      <c r="L459" s="79">
        <v>9</v>
      </c>
      <c r="M459" s="79">
        <v>8</v>
      </c>
    </row>
    <row r="460" spans="1:13">
      <c r="A460" s="78">
        <v>31435396</v>
      </c>
      <c r="B460" s="79">
        <v>91</v>
      </c>
      <c r="C460" s="79">
        <v>7</v>
      </c>
      <c r="D460" s="79">
        <v>12</v>
      </c>
      <c r="E460" s="79">
        <v>0</v>
      </c>
      <c r="F460" s="79">
        <v>11745000</v>
      </c>
      <c r="G460" s="79">
        <v>95800000</v>
      </c>
      <c r="H460" s="79">
        <v>0</v>
      </c>
      <c r="I460" s="79">
        <v>67893868</v>
      </c>
      <c r="J460" s="79">
        <v>0</v>
      </c>
      <c r="K460" s="79">
        <v>2</v>
      </c>
      <c r="L460" s="79">
        <v>8</v>
      </c>
      <c r="M460" s="79">
        <v>9</v>
      </c>
    </row>
    <row r="461" spans="1:13">
      <c r="A461" s="78">
        <v>1055273054</v>
      </c>
      <c r="B461" s="79">
        <v>121</v>
      </c>
      <c r="C461" s="79">
        <v>2</v>
      </c>
      <c r="D461" s="79">
        <v>4</v>
      </c>
      <c r="E461" s="79">
        <v>3</v>
      </c>
      <c r="F461" s="79">
        <v>8120258</v>
      </c>
      <c r="G461" s="79">
        <v>121478528.5</v>
      </c>
      <c r="H461" s="79">
        <v>0</v>
      </c>
      <c r="I461" s="79">
        <v>52540050</v>
      </c>
      <c r="J461" s="79">
        <v>0</v>
      </c>
      <c r="K461" s="79">
        <v>2</v>
      </c>
      <c r="L461" s="79">
        <v>1</v>
      </c>
      <c r="M461" s="79">
        <v>0</v>
      </c>
    </row>
    <row r="462" spans="1:13">
      <c r="A462" s="78">
        <v>1014270719</v>
      </c>
      <c r="B462" s="79">
        <v>110</v>
      </c>
      <c r="C462" s="79">
        <v>3</v>
      </c>
      <c r="D462" s="79">
        <v>12</v>
      </c>
      <c r="E462" s="79">
        <v>7</v>
      </c>
      <c r="F462" s="79">
        <v>4647500</v>
      </c>
      <c r="G462" s="79">
        <v>76200000</v>
      </c>
      <c r="H462" s="79">
        <v>0</v>
      </c>
      <c r="I462" s="79">
        <v>83869000</v>
      </c>
      <c r="J462" s="79">
        <v>0</v>
      </c>
      <c r="K462" s="79">
        <v>6</v>
      </c>
      <c r="L462" s="79">
        <v>4</v>
      </c>
      <c r="M462" s="79">
        <v>2</v>
      </c>
    </row>
    <row r="463" spans="1:13">
      <c r="A463" s="78">
        <v>1014265855</v>
      </c>
      <c r="B463" s="79">
        <v>72</v>
      </c>
      <c r="C463" s="79">
        <v>7</v>
      </c>
      <c r="D463" s="79">
        <v>2</v>
      </c>
      <c r="E463" s="79">
        <v>2</v>
      </c>
      <c r="F463" s="79">
        <v>712780.83333333337</v>
      </c>
      <c r="G463" s="79">
        <v>20000000</v>
      </c>
      <c r="H463" s="79">
        <v>0</v>
      </c>
      <c r="I463" s="79">
        <v>42326542</v>
      </c>
      <c r="J463" s="79">
        <v>0</v>
      </c>
      <c r="K463" s="79">
        <v>2</v>
      </c>
      <c r="L463" s="79">
        <v>2</v>
      </c>
      <c r="M463" s="79">
        <v>7</v>
      </c>
    </row>
    <row r="464" spans="1:13">
      <c r="A464" s="78">
        <v>1031140758</v>
      </c>
      <c r="B464" s="79">
        <v>47</v>
      </c>
      <c r="C464" s="79">
        <v>2</v>
      </c>
      <c r="D464" s="79">
        <v>5</v>
      </c>
      <c r="E464" s="79">
        <v>6</v>
      </c>
      <c r="F464" s="79">
        <v>816463.91666666663</v>
      </c>
      <c r="G464" s="79">
        <v>83400000</v>
      </c>
      <c r="H464" s="79">
        <v>0</v>
      </c>
      <c r="I464" s="79">
        <v>49860052</v>
      </c>
      <c r="J464" s="79">
        <v>0</v>
      </c>
      <c r="K464" s="79">
        <v>0</v>
      </c>
      <c r="L464" s="79">
        <v>2</v>
      </c>
      <c r="M464" s="79">
        <v>0</v>
      </c>
    </row>
    <row r="465" spans="1:13">
      <c r="A465" s="78">
        <v>1013647534</v>
      </c>
      <c r="B465" s="79">
        <v>37</v>
      </c>
      <c r="C465" s="79">
        <v>1</v>
      </c>
      <c r="D465" s="79">
        <v>5</v>
      </c>
      <c r="E465" s="79">
        <v>1</v>
      </c>
      <c r="F465" s="79">
        <v>0</v>
      </c>
      <c r="G465" s="79">
        <v>0</v>
      </c>
      <c r="H465" s="79">
        <v>0</v>
      </c>
      <c r="I465" s="79">
        <v>40850215</v>
      </c>
      <c r="J465" s="79">
        <v>0</v>
      </c>
      <c r="K465" s="79">
        <v>0</v>
      </c>
      <c r="L465" s="79">
        <v>2</v>
      </c>
      <c r="M465" s="79">
        <v>1</v>
      </c>
    </row>
    <row r="466" spans="1:13">
      <c r="A466" s="78">
        <v>80920929</v>
      </c>
      <c r="B466" s="79">
        <v>52</v>
      </c>
      <c r="C466" s="79">
        <v>3</v>
      </c>
      <c r="D466" s="79">
        <v>16</v>
      </c>
      <c r="E466" s="79">
        <v>3</v>
      </c>
      <c r="F466" s="79">
        <v>7101321.916666667</v>
      </c>
      <c r="G466" s="79">
        <v>45300000</v>
      </c>
      <c r="H466" s="79">
        <v>20005485.350000001</v>
      </c>
      <c r="I466" s="79">
        <v>58848000</v>
      </c>
      <c r="J466" s="79">
        <v>0</v>
      </c>
      <c r="K466" s="79">
        <v>5</v>
      </c>
      <c r="L466" s="79">
        <v>10</v>
      </c>
      <c r="M466" s="79">
        <v>7</v>
      </c>
    </row>
    <row r="467" spans="1:13">
      <c r="A467" s="78">
        <v>52969353</v>
      </c>
      <c r="B467" s="79">
        <v>63</v>
      </c>
      <c r="C467" s="79">
        <v>2</v>
      </c>
      <c r="D467" s="79">
        <v>14</v>
      </c>
      <c r="E467" s="79">
        <v>9</v>
      </c>
      <c r="F467" s="79">
        <v>7625000</v>
      </c>
      <c r="G467" s="79">
        <v>63000000</v>
      </c>
      <c r="H467" s="79">
        <v>0</v>
      </c>
      <c r="I467" s="79">
        <v>90562299</v>
      </c>
      <c r="J467" s="79">
        <v>0</v>
      </c>
      <c r="K467" s="79">
        <v>0</v>
      </c>
      <c r="L467" s="79">
        <v>12</v>
      </c>
      <c r="M467" s="79">
        <v>6</v>
      </c>
    </row>
    <row r="468" spans="1:13">
      <c r="A468" s="78">
        <v>1151947043</v>
      </c>
      <c r="B468" s="79">
        <v>69</v>
      </c>
      <c r="C468" s="79">
        <v>2</v>
      </c>
      <c r="D468" s="79">
        <v>16</v>
      </c>
      <c r="E468" s="79">
        <v>7</v>
      </c>
      <c r="F468" s="79">
        <v>9572500</v>
      </c>
      <c r="G468" s="79">
        <v>110751179.38</v>
      </c>
      <c r="H468" s="79">
        <v>0</v>
      </c>
      <c r="I468" s="79">
        <v>19455588</v>
      </c>
      <c r="J468" s="79">
        <v>0</v>
      </c>
      <c r="K468" s="79">
        <v>5</v>
      </c>
      <c r="L468" s="79">
        <v>10</v>
      </c>
      <c r="M468" s="79">
        <v>11</v>
      </c>
    </row>
    <row r="469" spans="1:13">
      <c r="A469" s="78">
        <v>1130597421</v>
      </c>
      <c r="B469" s="79">
        <v>59</v>
      </c>
      <c r="C469" s="79">
        <v>2</v>
      </c>
      <c r="D469" s="79">
        <v>15</v>
      </c>
      <c r="E469" s="79">
        <v>2</v>
      </c>
      <c r="F469" s="79">
        <v>3219610</v>
      </c>
      <c r="G469" s="79">
        <v>97480000</v>
      </c>
      <c r="H469" s="79">
        <v>0</v>
      </c>
      <c r="I469" s="79">
        <v>110006719</v>
      </c>
      <c r="J469" s="79">
        <v>0</v>
      </c>
      <c r="K469" s="79">
        <v>7</v>
      </c>
      <c r="L469" s="79">
        <v>8</v>
      </c>
      <c r="M469" s="79">
        <v>6</v>
      </c>
    </row>
    <row r="470" spans="1:13">
      <c r="A470" s="78">
        <v>1130612571</v>
      </c>
      <c r="B470" s="79">
        <v>84</v>
      </c>
      <c r="C470" s="79">
        <v>6</v>
      </c>
      <c r="D470" s="79">
        <v>12</v>
      </c>
      <c r="E470" s="79">
        <v>1</v>
      </c>
      <c r="F470" s="79">
        <v>3690000</v>
      </c>
      <c r="G470" s="79">
        <v>38300000</v>
      </c>
      <c r="H470" s="79">
        <v>0</v>
      </c>
      <c r="I470" s="79">
        <v>89389413</v>
      </c>
      <c r="J470" s="79">
        <v>0</v>
      </c>
      <c r="K470" s="79">
        <v>3</v>
      </c>
      <c r="L470" s="79">
        <v>3</v>
      </c>
      <c r="M470" s="79">
        <v>6</v>
      </c>
    </row>
    <row r="471" spans="1:13">
      <c r="A471" s="78">
        <v>1022981259</v>
      </c>
      <c r="B471" s="79">
        <v>87</v>
      </c>
      <c r="C471" s="79">
        <v>2</v>
      </c>
      <c r="D471" s="79">
        <v>16</v>
      </c>
      <c r="E471" s="79">
        <v>4</v>
      </c>
      <c r="F471" s="79">
        <v>1457500</v>
      </c>
      <c r="G471" s="79">
        <v>69100000</v>
      </c>
      <c r="H471" s="79">
        <v>15300000</v>
      </c>
      <c r="I471" s="79">
        <v>25430000</v>
      </c>
      <c r="J471" s="79">
        <v>0</v>
      </c>
      <c r="K471" s="79">
        <v>2</v>
      </c>
      <c r="L471" s="79">
        <v>9</v>
      </c>
      <c r="M471" s="79">
        <v>9</v>
      </c>
    </row>
    <row r="472" spans="1:13">
      <c r="A472" s="78">
        <v>1069584339</v>
      </c>
      <c r="B472" s="79">
        <v>63</v>
      </c>
      <c r="C472" s="79">
        <v>2</v>
      </c>
      <c r="D472" s="79">
        <v>7</v>
      </c>
      <c r="E472" s="79">
        <v>3</v>
      </c>
      <c r="F472" s="79">
        <v>3197500</v>
      </c>
      <c r="G472" s="79">
        <v>23000000</v>
      </c>
      <c r="H472" s="79">
        <v>0</v>
      </c>
      <c r="I472" s="79">
        <v>17419201</v>
      </c>
      <c r="J472" s="79">
        <v>0</v>
      </c>
      <c r="K472" s="79">
        <v>1</v>
      </c>
      <c r="L472" s="79">
        <v>2</v>
      </c>
      <c r="M472" s="79">
        <v>4</v>
      </c>
    </row>
    <row r="473" spans="1:13">
      <c r="A473" s="78">
        <v>1037606667</v>
      </c>
      <c r="B473" s="79">
        <v>55</v>
      </c>
      <c r="C473" s="79">
        <v>3</v>
      </c>
      <c r="D473" s="79">
        <v>18</v>
      </c>
      <c r="E473" s="79">
        <v>4</v>
      </c>
      <c r="F473" s="79">
        <v>4532000</v>
      </c>
      <c r="G473" s="79">
        <v>70900000</v>
      </c>
      <c r="H473" s="79">
        <v>0</v>
      </c>
      <c r="I473" s="79">
        <v>78046233</v>
      </c>
      <c r="J473" s="79">
        <v>0</v>
      </c>
      <c r="K473" s="79">
        <v>6</v>
      </c>
      <c r="L473" s="79">
        <v>5</v>
      </c>
      <c r="M473" s="79">
        <v>6</v>
      </c>
    </row>
    <row r="474" spans="1:13">
      <c r="A474" s="78">
        <v>1152204752</v>
      </c>
      <c r="B474" s="79">
        <v>28</v>
      </c>
      <c r="C474" s="79">
        <v>3</v>
      </c>
      <c r="D474" s="79">
        <v>1</v>
      </c>
      <c r="E474" s="79">
        <v>1</v>
      </c>
      <c r="F474" s="79">
        <v>1635833.3333333333</v>
      </c>
      <c r="G474" s="79">
        <v>73710000</v>
      </c>
      <c r="H474" s="79">
        <v>0</v>
      </c>
      <c r="I474" s="79">
        <v>53345309</v>
      </c>
      <c r="J474" s="79">
        <v>0</v>
      </c>
      <c r="K474" s="79">
        <v>3</v>
      </c>
      <c r="L474" s="79">
        <v>3</v>
      </c>
      <c r="M474" s="79">
        <v>6</v>
      </c>
    </row>
    <row r="475" spans="1:13">
      <c r="A475" s="78">
        <v>1032389982</v>
      </c>
      <c r="B475" s="79">
        <v>109</v>
      </c>
      <c r="C475" s="79">
        <v>0</v>
      </c>
      <c r="D475" s="79">
        <v>11</v>
      </c>
      <c r="E475" s="79">
        <v>1</v>
      </c>
      <c r="F475" s="79">
        <v>5350000</v>
      </c>
      <c r="G475" s="79">
        <v>27100000</v>
      </c>
      <c r="H475" s="79">
        <v>5907923.4199999999</v>
      </c>
      <c r="I475" s="79">
        <v>128346000</v>
      </c>
      <c r="J475" s="79">
        <v>0</v>
      </c>
      <c r="K475" s="79">
        <v>1</v>
      </c>
      <c r="L475" s="79">
        <v>7</v>
      </c>
      <c r="M475" s="79">
        <v>2</v>
      </c>
    </row>
    <row r="476" spans="1:13">
      <c r="A476" s="78">
        <v>63552070</v>
      </c>
      <c r="B476" s="79">
        <v>34</v>
      </c>
      <c r="C476" s="79">
        <v>3</v>
      </c>
      <c r="D476" s="79">
        <v>4</v>
      </c>
      <c r="E476" s="79">
        <v>10</v>
      </c>
      <c r="F476" s="79">
        <v>6303965.5</v>
      </c>
      <c r="G476" s="79">
        <v>22100000</v>
      </c>
      <c r="H476" s="79">
        <v>0</v>
      </c>
      <c r="I476" s="79">
        <v>78150453</v>
      </c>
      <c r="J476" s="79">
        <v>0</v>
      </c>
      <c r="K476" s="79">
        <v>1</v>
      </c>
      <c r="L476" s="79">
        <v>6</v>
      </c>
      <c r="M476" s="79">
        <v>7</v>
      </c>
    </row>
    <row r="477" spans="1:13">
      <c r="A477" s="78">
        <v>1033749808</v>
      </c>
      <c r="B477" s="79">
        <v>27</v>
      </c>
      <c r="C477" s="79">
        <v>0</v>
      </c>
      <c r="D477" s="79">
        <v>1</v>
      </c>
      <c r="E477" s="79">
        <v>1</v>
      </c>
      <c r="F477" s="79">
        <v>687244.83333333337</v>
      </c>
      <c r="G477" s="79">
        <v>0</v>
      </c>
      <c r="H477" s="79">
        <v>50700000</v>
      </c>
      <c r="I477" s="79">
        <v>0</v>
      </c>
      <c r="J477" s="79">
        <v>0</v>
      </c>
      <c r="K477" s="79">
        <v>1</v>
      </c>
      <c r="L477" s="79">
        <v>9</v>
      </c>
      <c r="M477" s="79">
        <v>3</v>
      </c>
    </row>
    <row r="478" spans="1:13">
      <c r="A478" s="78">
        <v>1010161953</v>
      </c>
      <c r="B478" s="79">
        <v>127</v>
      </c>
      <c r="C478" s="79">
        <v>10</v>
      </c>
      <c r="D478" s="79">
        <v>0</v>
      </c>
      <c r="E478" s="79">
        <v>1</v>
      </c>
      <c r="F478" s="79">
        <v>6082217.916666666</v>
      </c>
      <c r="G478" s="79">
        <v>111200000</v>
      </c>
      <c r="H478" s="79">
        <v>63000000</v>
      </c>
      <c r="I478" s="79">
        <v>26489477</v>
      </c>
      <c r="J478" s="79">
        <v>0</v>
      </c>
      <c r="K478" s="79">
        <v>2</v>
      </c>
      <c r="L478" s="79">
        <v>7</v>
      </c>
      <c r="M478" s="79">
        <v>6</v>
      </c>
    </row>
    <row r="479" spans="1:13">
      <c r="A479" s="78">
        <v>40334560</v>
      </c>
      <c r="B479" s="79">
        <v>30</v>
      </c>
      <c r="C479" s="79">
        <v>0</v>
      </c>
      <c r="D479" s="79">
        <v>2</v>
      </c>
      <c r="E479" s="79">
        <v>2</v>
      </c>
      <c r="F479" s="79">
        <v>370000</v>
      </c>
      <c r="G479" s="79">
        <v>0</v>
      </c>
      <c r="H479" s="79">
        <v>0</v>
      </c>
      <c r="I479" s="79">
        <v>16081227</v>
      </c>
      <c r="J479" s="79">
        <v>0</v>
      </c>
      <c r="K479" s="79">
        <v>0</v>
      </c>
      <c r="L479" s="79">
        <v>0</v>
      </c>
      <c r="M479" s="79">
        <v>0</v>
      </c>
    </row>
    <row r="480" spans="1:13">
      <c r="A480" s="78">
        <v>1107064830</v>
      </c>
      <c r="B480" s="79">
        <v>78</v>
      </c>
      <c r="C480" s="79">
        <v>3</v>
      </c>
      <c r="D480" s="79">
        <v>12</v>
      </c>
      <c r="E480" s="79">
        <v>4</v>
      </c>
      <c r="F480" s="79">
        <v>6819040.833333333</v>
      </c>
      <c r="G480" s="79">
        <v>47370000</v>
      </c>
      <c r="H480" s="79">
        <v>0</v>
      </c>
      <c r="I480" s="79">
        <v>21107058</v>
      </c>
      <c r="J480" s="79">
        <v>0</v>
      </c>
      <c r="K480" s="79">
        <v>3</v>
      </c>
      <c r="L480" s="79">
        <v>5</v>
      </c>
      <c r="M480" s="79">
        <v>6</v>
      </c>
    </row>
    <row r="481" spans="1:13">
      <c r="A481" s="78">
        <v>9295484</v>
      </c>
      <c r="B481" s="79">
        <v>126</v>
      </c>
      <c r="C481" s="79">
        <v>3</v>
      </c>
      <c r="D481" s="79">
        <v>6</v>
      </c>
      <c r="E481" s="79">
        <v>1</v>
      </c>
      <c r="F481" s="79">
        <v>6185705.5</v>
      </c>
      <c r="G481" s="79">
        <v>87300000</v>
      </c>
      <c r="H481" s="79">
        <v>31300000</v>
      </c>
      <c r="I481" s="79">
        <v>73709525</v>
      </c>
      <c r="J481" s="79">
        <v>0</v>
      </c>
      <c r="K481" s="79">
        <v>0</v>
      </c>
      <c r="L481" s="79">
        <v>6</v>
      </c>
      <c r="M481" s="79">
        <v>9</v>
      </c>
    </row>
    <row r="482" spans="1:13">
      <c r="A482" s="78">
        <v>53093283</v>
      </c>
      <c r="B482" s="79">
        <v>30</v>
      </c>
      <c r="C482" s="79">
        <v>2</v>
      </c>
      <c r="D482" s="79">
        <v>4</v>
      </c>
      <c r="E482" s="79">
        <v>0</v>
      </c>
      <c r="F482" s="79">
        <v>2460000</v>
      </c>
      <c r="G482" s="79">
        <v>34000000</v>
      </c>
      <c r="H482" s="79">
        <v>26500000</v>
      </c>
      <c r="I482" s="79">
        <v>59503590</v>
      </c>
      <c r="J482" s="79">
        <v>0</v>
      </c>
      <c r="K482" s="79">
        <v>1</v>
      </c>
      <c r="L482" s="79">
        <v>3</v>
      </c>
      <c r="M482" s="79">
        <v>2</v>
      </c>
    </row>
    <row r="483" spans="1:13">
      <c r="A483" s="78">
        <v>1144166407</v>
      </c>
      <c r="B483" s="79">
        <v>53</v>
      </c>
      <c r="C483" s="79">
        <v>7</v>
      </c>
      <c r="D483" s="79">
        <v>6</v>
      </c>
      <c r="E483" s="79">
        <v>0</v>
      </c>
      <c r="F483" s="79">
        <v>1865000</v>
      </c>
      <c r="G483" s="79">
        <v>68300000</v>
      </c>
      <c r="H483" s="79">
        <v>0</v>
      </c>
      <c r="I483" s="79">
        <v>63631800</v>
      </c>
      <c r="J483" s="79">
        <v>0</v>
      </c>
      <c r="K483" s="79">
        <v>2</v>
      </c>
      <c r="L483" s="79">
        <v>4</v>
      </c>
      <c r="M483" s="79">
        <v>10</v>
      </c>
    </row>
    <row r="484" spans="1:13">
      <c r="A484" s="78">
        <v>1023890332</v>
      </c>
      <c r="B484" s="79">
        <v>63</v>
      </c>
      <c r="C484" s="79">
        <v>4</v>
      </c>
      <c r="D484" s="79">
        <v>3</v>
      </c>
      <c r="E484" s="79">
        <v>2</v>
      </c>
      <c r="F484" s="79">
        <v>8287828.916666667</v>
      </c>
      <c r="G484" s="79">
        <v>3500000</v>
      </c>
      <c r="H484" s="79">
        <v>42500000</v>
      </c>
      <c r="I484" s="79">
        <v>47741754</v>
      </c>
      <c r="J484" s="79">
        <v>0</v>
      </c>
      <c r="K484" s="79">
        <v>6</v>
      </c>
      <c r="L484" s="79">
        <v>15</v>
      </c>
      <c r="M484" s="79">
        <v>15</v>
      </c>
    </row>
    <row r="485" spans="1:13">
      <c r="A485" s="78">
        <v>1110503292</v>
      </c>
      <c r="B485" s="79">
        <v>59</v>
      </c>
      <c r="C485" s="79">
        <v>2</v>
      </c>
      <c r="D485" s="79">
        <v>13</v>
      </c>
      <c r="E485" s="79">
        <v>3</v>
      </c>
      <c r="F485" s="79">
        <v>6072959.75</v>
      </c>
      <c r="G485" s="79">
        <v>72833710.450000003</v>
      </c>
      <c r="H485" s="79">
        <v>0</v>
      </c>
      <c r="I485" s="79">
        <v>62285460</v>
      </c>
      <c r="J485" s="79">
        <v>0</v>
      </c>
      <c r="K485" s="79">
        <v>6</v>
      </c>
      <c r="L485" s="79">
        <v>5</v>
      </c>
      <c r="M485" s="79">
        <v>7</v>
      </c>
    </row>
    <row r="486" spans="1:13">
      <c r="A486" s="78">
        <v>1113634883</v>
      </c>
      <c r="B486" s="79">
        <v>43</v>
      </c>
      <c r="C486" s="79">
        <v>2</v>
      </c>
      <c r="D486" s="79">
        <v>15</v>
      </c>
      <c r="E486" s="79">
        <v>2</v>
      </c>
      <c r="F486" s="79">
        <v>4353376.666666667</v>
      </c>
      <c r="G486" s="79">
        <v>124300000</v>
      </c>
      <c r="H486" s="79">
        <v>0</v>
      </c>
      <c r="I486" s="79">
        <v>89060634</v>
      </c>
      <c r="J486" s="79">
        <v>0</v>
      </c>
      <c r="K486" s="79">
        <v>7</v>
      </c>
      <c r="L486" s="79">
        <v>10</v>
      </c>
      <c r="M486" s="79">
        <v>5</v>
      </c>
    </row>
    <row r="487" spans="1:13">
      <c r="A487" s="78">
        <v>1130672714</v>
      </c>
      <c r="B487" s="79">
        <v>50</v>
      </c>
      <c r="C487" s="79">
        <v>3</v>
      </c>
      <c r="D487" s="79">
        <v>7</v>
      </c>
      <c r="E487" s="79">
        <v>4</v>
      </c>
      <c r="F487" s="79">
        <v>1865000</v>
      </c>
      <c r="G487" s="79">
        <v>-14000000</v>
      </c>
      <c r="H487" s="79">
        <v>6500000</v>
      </c>
      <c r="I487" s="79">
        <v>16409000</v>
      </c>
      <c r="J487" s="79">
        <v>0</v>
      </c>
      <c r="K487" s="79">
        <v>5</v>
      </c>
      <c r="L487" s="79">
        <v>8</v>
      </c>
      <c r="M487" s="79">
        <v>6</v>
      </c>
    </row>
    <row r="488" spans="1:13">
      <c r="A488" s="78">
        <v>1088308878</v>
      </c>
      <c r="B488" s="79">
        <v>67</v>
      </c>
      <c r="C488" s="79">
        <v>7</v>
      </c>
      <c r="D488" s="79">
        <v>17</v>
      </c>
      <c r="E488" s="79">
        <v>9</v>
      </c>
      <c r="F488" s="79">
        <v>11130000</v>
      </c>
      <c r="G488" s="79">
        <v>95471369.430000007</v>
      </c>
      <c r="H488" s="79">
        <v>41000000</v>
      </c>
      <c r="I488" s="79">
        <v>91598137</v>
      </c>
      <c r="J488" s="79">
        <v>0</v>
      </c>
      <c r="K488" s="79">
        <v>7</v>
      </c>
      <c r="L488" s="79">
        <v>11</v>
      </c>
      <c r="M488" s="79">
        <v>9</v>
      </c>
    </row>
    <row r="489" spans="1:13">
      <c r="A489" s="78">
        <v>1130670335</v>
      </c>
      <c r="B489" s="79">
        <v>43</v>
      </c>
      <c r="C489" s="79">
        <v>2</v>
      </c>
      <c r="D489" s="79">
        <v>8</v>
      </c>
      <c r="E489" s="79">
        <v>0</v>
      </c>
      <c r="F489" s="79">
        <v>3625307.75</v>
      </c>
      <c r="G489" s="79">
        <v>53000000</v>
      </c>
      <c r="H489" s="79">
        <v>0</v>
      </c>
      <c r="I489" s="79">
        <v>40819851</v>
      </c>
      <c r="J489" s="79">
        <v>0</v>
      </c>
      <c r="K489" s="79">
        <v>2</v>
      </c>
      <c r="L489" s="79">
        <v>3</v>
      </c>
      <c r="M489" s="79">
        <v>2</v>
      </c>
    </row>
    <row r="490" spans="1:13">
      <c r="A490" s="78">
        <v>1144168987</v>
      </c>
      <c r="B490" s="79">
        <v>32</v>
      </c>
      <c r="C490" s="79">
        <v>4</v>
      </c>
      <c r="D490" s="79">
        <v>1</v>
      </c>
      <c r="E490" s="79">
        <v>1</v>
      </c>
      <c r="F490" s="79">
        <v>2078833.3333333333</v>
      </c>
      <c r="G490" s="79">
        <v>23000000</v>
      </c>
      <c r="H490" s="79">
        <v>0</v>
      </c>
      <c r="I490" s="79">
        <v>38164095</v>
      </c>
      <c r="J490" s="79">
        <v>0</v>
      </c>
      <c r="K490" s="79">
        <v>1</v>
      </c>
      <c r="L490" s="79">
        <v>10</v>
      </c>
      <c r="M490" s="79">
        <v>5</v>
      </c>
    </row>
    <row r="491" spans="1:13">
      <c r="A491" s="78">
        <v>37321903</v>
      </c>
      <c r="B491" s="79">
        <v>0</v>
      </c>
      <c r="C491" s="79">
        <v>0</v>
      </c>
      <c r="D491" s="79">
        <v>0</v>
      </c>
      <c r="E491" s="79">
        <v>0</v>
      </c>
      <c r="F491" s="79">
        <v>0</v>
      </c>
      <c r="G491" s="79">
        <v>0</v>
      </c>
      <c r="H491" s="79">
        <v>0</v>
      </c>
      <c r="I491" s="79">
        <v>0</v>
      </c>
      <c r="J491" s="79">
        <v>0</v>
      </c>
      <c r="K491" s="79">
        <v>0</v>
      </c>
      <c r="L491" s="79">
        <v>0</v>
      </c>
      <c r="M491" s="79">
        <v>0</v>
      </c>
    </row>
    <row r="492" spans="1:13">
      <c r="A492" s="78">
        <v>1019088583</v>
      </c>
      <c r="B492" s="79">
        <v>50</v>
      </c>
      <c r="C492" s="79">
        <v>3</v>
      </c>
      <c r="D492" s="79">
        <v>2</v>
      </c>
      <c r="E492" s="79">
        <v>2</v>
      </c>
      <c r="F492" s="79">
        <v>0</v>
      </c>
      <c r="G492" s="79">
        <v>18100000</v>
      </c>
      <c r="H492" s="79">
        <v>36000000</v>
      </c>
      <c r="I492" s="79">
        <v>47253587</v>
      </c>
      <c r="J492" s="79">
        <v>0</v>
      </c>
      <c r="K492" s="79">
        <v>0</v>
      </c>
      <c r="L492" s="79">
        <v>1</v>
      </c>
      <c r="M492" s="79">
        <v>7</v>
      </c>
    </row>
    <row r="493" spans="1:13">
      <c r="A493" s="78">
        <v>80807040</v>
      </c>
      <c r="B493" s="79">
        <v>85</v>
      </c>
      <c r="C493" s="79">
        <v>9</v>
      </c>
      <c r="D493" s="79">
        <v>12</v>
      </c>
      <c r="E493" s="79">
        <v>2</v>
      </c>
      <c r="F493" s="79">
        <v>5643125</v>
      </c>
      <c r="G493" s="79">
        <v>83800000</v>
      </c>
      <c r="H493" s="79">
        <v>0</v>
      </c>
      <c r="I493" s="79">
        <v>83085000</v>
      </c>
      <c r="J493" s="79">
        <v>0</v>
      </c>
      <c r="K493" s="79">
        <v>0</v>
      </c>
      <c r="L493" s="79">
        <v>10</v>
      </c>
      <c r="M493" s="79">
        <v>2</v>
      </c>
    </row>
    <row r="494" spans="1:13">
      <c r="A494" s="78">
        <v>80058124</v>
      </c>
      <c r="B494" s="79">
        <v>74</v>
      </c>
      <c r="C494" s="79">
        <v>1</v>
      </c>
      <c r="D494" s="79">
        <v>8</v>
      </c>
      <c r="E494" s="79">
        <v>6</v>
      </c>
      <c r="F494" s="79">
        <v>1785000</v>
      </c>
      <c r="G494" s="79">
        <v>50500000</v>
      </c>
      <c r="H494" s="79">
        <v>14700000</v>
      </c>
      <c r="I494" s="79">
        <v>59417965</v>
      </c>
      <c r="J494" s="79">
        <v>0</v>
      </c>
      <c r="K494" s="79">
        <v>1</v>
      </c>
      <c r="L494" s="79">
        <v>3</v>
      </c>
      <c r="M494" s="79">
        <v>2</v>
      </c>
    </row>
    <row r="495" spans="1:13">
      <c r="A495" s="78">
        <v>52067261</v>
      </c>
      <c r="B495" s="79">
        <v>78</v>
      </c>
      <c r="C495" s="79">
        <v>6</v>
      </c>
      <c r="D495" s="79">
        <v>12</v>
      </c>
      <c r="E495" s="79">
        <v>4</v>
      </c>
      <c r="F495" s="79">
        <v>11029666.666666666</v>
      </c>
      <c r="G495" s="79">
        <v>97600000</v>
      </c>
      <c r="H495" s="79">
        <v>0</v>
      </c>
      <c r="I495" s="79">
        <v>139130000</v>
      </c>
      <c r="J495" s="79">
        <v>0</v>
      </c>
      <c r="K495" s="79">
        <v>4</v>
      </c>
      <c r="L495" s="79">
        <v>9</v>
      </c>
      <c r="M495" s="79">
        <v>10</v>
      </c>
    </row>
    <row r="496" spans="1:13">
      <c r="A496" s="78">
        <v>1088008856</v>
      </c>
      <c r="B496" s="79">
        <v>99</v>
      </c>
      <c r="C496" s="79">
        <v>6</v>
      </c>
      <c r="D496" s="79">
        <v>19</v>
      </c>
      <c r="E496" s="79">
        <v>4</v>
      </c>
      <c r="F496" s="79">
        <v>9349645.833333334</v>
      </c>
      <c r="G496" s="79">
        <v>79300000</v>
      </c>
      <c r="H496" s="79">
        <v>17000000</v>
      </c>
      <c r="I496" s="79">
        <v>58564000</v>
      </c>
      <c r="J496" s="79">
        <v>0</v>
      </c>
      <c r="K496" s="79">
        <v>11</v>
      </c>
      <c r="L496" s="79">
        <v>16</v>
      </c>
      <c r="M496" s="79">
        <v>16</v>
      </c>
    </row>
    <row r="497" spans="2:13">
      <c r="B497" s="80">
        <f>SUM(B2:B496)</f>
        <v>30842</v>
      </c>
      <c r="C497" s="80">
        <f t="shared" ref="C497:M497" si="0">SUM(C2:C496)</f>
        <v>1503</v>
      </c>
      <c r="D497" s="80">
        <f t="shared" si="0"/>
        <v>4249</v>
      </c>
      <c r="E497" s="80">
        <f t="shared" si="0"/>
        <v>1405</v>
      </c>
      <c r="F497" s="80">
        <f t="shared" si="0"/>
        <v>2385296695.583333</v>
      </c>
      <c r="G497" s="80">
        <f t="shared" si="0"/>
        <v>32420294244.840004</v>
      </c>
      <c r="H497" s="80">
        <f t="shared" si="0"/>
        <v>6883377321.8300028</v>
      </c>
      <c r="I497" s="80">
        <f t="shared" si="0"/>
        <v>28889158084</v>
      </c>
      <c r="J497" s="80">
        <f t="shared" si="0"/>
        <v>559389000</v>
      </c>
      <c r="K497" s="80">
        <f t="shared" si="0"/>
        <v>1489</v>
      </c>
      <c r="L497" s="80">
        <f t="shared" si="0"/>
        <v>3458</v>
      </c>
      <c r="M497" s="80">
        <f t="shared" si="0"/>
        <v>2907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7"/>
  <sheetViews>
    <sheetView showGridLines="0" workbookViewId="0">
      <pane ySplit="1" topLeftCell="A418" activePane="bottomLeft" state="frozen"/>
      <selection pane="bottomLeft" activeCell="J486" sqref="J486"/>
    </sheetView>
  </sheetViews>
  <sheetFormatPr baseColWidth="10" defaultColWidth="10.85546875" defaultRowHeight="15"/>
  <cols>
    <col min="1" max="5" width="10.85546875" style="77"/>
    <col min="6" max="7" width="13.42578125" style="77" customWidth="1"/>
    <col min="8" max="8" width="13.5703125" style="77" customWidth="1"/>
    <col min="9" max="10" width="12.42578125" style="77" customWidth="1"/>
    <col min="11" max="16384" width="10.85546875" style="77"/>
  </cols>
  <sheetData>
    <row r="1" spans="1:14" ht="23.25" customHeight="1" thickBot="1">
      <c r="A1" s="72" t="s">
        <v>66</v>
      </c>
      <c r="B1" s="86" t="s">
        <v>72</v>
      </c>
      <c r="C1" s="87" t="s">
        <v>73</v>
      </c>
      <c r="D1" s="87" t="s">
        <v>74</v>
      </c>
      <c r="E1" s="87" t="s">
        <v>75</v>
      </c>
      <c r="F1" s="87" t="s">
        <v>76</v>
      </c>
      <c r="G1" s="87" t="s">
        <v>77</v>
      </c>
      <c r="H1" s="88" t="s">
        <v>78</v>
      </c>
      <c r="I1" s="88" t="s">
        <v>79</v>
      </c>
      <c r="J1" s="88" t="s">
        <v>80</v>
      </c>
      <c r="K1" s="88" t="s">
        <v>81</v>
      </c>
      <c r="L1" s="88" t="s">
        <v>82</v>
      </c>
      <c r="M1" s="89" t="s">
        <v>83</v>
      </c>
      <c r="N1" s="88" t="s">
        <v>71</v>
      </c>
    </row>
    <row r="2" spans="1:14">
      <c r="A2" s="78">
        <v>9375240</v>
      </c>
      <c r="B2" s="79">
        <v>64</v>
      </c>
      <c r="C2" s="79">
        <v>2</v>
      </c>
      <c r="D2" s="79">
        <v>12</v>
      </c>
      <c r="E2" s="79">
        <v>1</v>
      </c>
      <c r="F2" s="79">
        <v>6150000</v>
      </c>
      <c r="G2" s="79">
        <v>85000000</v>
      </c>
      <c r="H2" s="79">
        <v>20000000</v>
      </c>
      <c r="I2" s="79">
        <v>31588778</v>
      </c>
      <c r="J2" s="79">
        <v>0</v>
      </c>
      <c r="K2" s="79">
        <v>0</v>
      </c>
      <c r="L2" s="79">
        <v>4</v>
      </c>
      <c r="M2" s="79">
        <v>9</v>
      </c>
      <c r="N2" s="90">
        <v>9002</v>
      </c>
    </row>
    <row r="3" spans="1:14">
      <c r="A3" s="78">
        <v>1023008416</v>
      </c>
      <c r="B3" s="79">
        <v>93</v>
      </c>
      <c r="C3" s="79">
        <v>6</v>
      </c>
      <c r="D3" s="79">
        <v>16</v>
      </c>
      <c r="E3" s="79">
        <v>10</v>
      </c>
      <c r="F3" s="79">
        <v>9930000</v>
      </c>
      <c r="G3" s="79">
        <v>91971593.650000006</v>
      </c>
      <c r="H3" s="79">
        <v>0</v>
      </c>
      <c r="I3" s="79">
        <v>75555084</v>
      </c>
      <c r="J3" s="79">
        <v>0</v>
      </c>
      <c r="K3" s="79">
        <v>6</v>
      </c>
      <c r="L3" s="79">
        <v>16</v>
      </c>
      <c r="M3" s="79">
        <v>5</v>
      </c>
      <c r="N3" s="90">
        <v>9004</v>
      </c>
    </row>
    <row r="4" spans="1:14">
      <c r="A4" s="78">
        <v>41960913</v>
      </c>
      <c r="B4" s="79">
        <v>61</v>
      </c>
      <c r="C4" s="79">
        <v>3</v>
      </c>
      <c r="D4" s="79">
        <v>10</v>
      </c>
      <c r="E4" s="79">
        <v>0</v>
      </c>
      <c r="F4" s="79">
        <v>8055000</v>
      </c>
      <c r="G4" s="79">
        <v>80200000</v>
      </c>
      <c r="H4" s="79">
        <v>14500000</v>
      </c>
      <c r="I4" s="79">
        <v>81043832</v>
      </c>
      <c r="J4" s="79">
        <v>0</v>
      </c>
      <c r="K4" s="79">
        <v>9</v>
      </c>
      <c r="L4" s="79">
        <v>9</v>
      </c>
      <c r="M4" s="79">
        <v>10</v>
      </c>
      <c r="N4" s="90">
        <v>9005</v>
      </c>
    </row>
    <row r="5" spans="1:14">
      <c r="A5" s="78">
        <v>1010229345</v>
      </c>
      <c r="B5" s="79">
        <v>63</v>
      </c>
      <c r="C5" s="79">
        <v>2</v>
      </c>
      <c r="D5" s="79">
        <v>14</v>
      </c>
      <c r="E5" s="79">
        <v>4</v>
      </c>
      <c r="F5" s="79">
        <v>7995000</v>
      </c>
      <c r="G5" s="79">
        <v>103851600</v>
      </c>
      <c r="H5" s="79">
        <v>100000000</v>
      </c>
      <c r="I5" s="79">
        <v>123733612</v>
      </c>
      <c r="J5" s="79">
        <v>0</v>
      </c>
      <c r="K5" s="79">
        <v>4</v>
      </c>
      <c r="L5" s="79">
        <v>5</v>
      </c>
      <c r="M5" s="79">
        <v>0</v>
      </c>
      <c r="N5" s="90">
        <v>9003</v>
      </c>
    </row>
    <row r="6" spans="1:14">
      <c r="A6" s="78">
        <v>1054920307</v>
      </c>
      <c r="B6" s="79">
        <v>80</v>
      </c>
      <c r="C6" s="79">
        <v>3</v>
      </c>
      <c r="D6" s="79">
        <v>15</v>
      </c>
      <c r="E6" s="79">
        <v>5</v>
      </c>
      <c r="F6" s="79">
        <v>7970833.333333333</v>
      </c>
      <c r="G6" s="79">
        <v>75000000</v>
      </c>
      <c r="H6" s="79">
        <v>36000000</v>
      </c>
      <c r="I6" s="79">
        <v>69315000</v>
      </c>
      <c r="J6" s="79">
        <v>0</v>
      </c>
      <c r="K6" s="79">
        <v>5</v>
      </c>
      <c r="L6" s="79">
        <v>10</v>
      </c>
      <c r="M6" s="79">
        <v>8</v>
      </c>
      <c r="N6" s="90">
        <v>9005</v>
      </c>
    </row>
    <row r="7" spans="1:14">
      <c r="A7" s="78">
        <v>1014256052</v>
      </c>
      <c r="B7" s="79">
        <v>28</v>
      </c>
      <c r="C7" s="79">
        <v>1</v>
      </c>
      <c r="D7" s="79">
        <v>14</v>
      </c>
      <c r="E7" s="79">
        <v>0</v>
      </c>
      <c r="F7" s="79">
        <v>9216250</v>
      </c>
      <c r="G7" s="79">
        <v>99900000</v>
      </c>
      <c r="H7" s="79">
        <v>0</v>
      </c>
      <c r="I7" s="79">
        <v>42452982</v>
      </c>
      <c r="J7" s="79">
        <v>0</v>
      </c>
      <c r="K7" s="79">
        <v>10</v>
      </c>
      <c r="L7" s="79">
        <v>11</v>
      </c>
      <c r="M7" s="79">
        <v>12</v>
      </c>
      <c r="N7" s="90">
        <v>9004</v>
      </c>
    </row>
    <row r="8" spans="1:14">
      <c r="A8" s="78">
        <v>1140864201</v>
      </c>
      <c r="B8" s="79">
        <v>55</v>
      </c>
      <c r="C8" s="79">
        <v>1</v>
      </c>
      <c r="D8" s="79">
        <v>10</v>
      </c>
      <c r="E8" s="79">
        <v>0</v>
      </c>
      <c r="F8" s="79">
        <v>3630000</v>
      </c>
      <c r="G8" s="79">
        <v>30000000</v>
      </c>
      <c r="H8" s="79">
        <v>0</v>
      </c>
      <c r="I8" s="79">
        <v>56422000</v>
      </c>
      <c r="J8" s="79">
        <v>0</v>
      </c>
      <c r="K8" s="79">
        <v>3</v>
      </c>
      <c r="L8" s="79">
        <v>14</v>
      </c>
      <c r="M8" s="79">
        <v>20</v>
      </c>
      <c r="N8" s="90">
        <v>9009</v>
      </c>
    </row>
    <row r="9" spans="1:14">
      <c r="A9" s="78">
        <v>1017126050</v>
      </c>
      <c r="B9" s="79">
        <v>59</v>
      </c>
      <c r="C9" s="79">
        <v>0</v>
      </c>
      <c r="D9" s="79">
        <v>0</v>
      </c>
      <c r="E9" s="79">
        <v>0</v>
      </c>
      <c r="F9" s="79">
        <v>0</v>
      </c>
      <c r="G9" s="79">
        <v>0</v>
      </c>
      <c r="H9" s="79">
        <v>0</v>
      </c>
      <c r="I9" s="79">
        <v>3426881</v>
      </c>
      <c r="J9" s="79">
        <v>0</v>
      </c>
      <c r="K9" s="79">
        <v>0</v>
      </c>
      <c r="L9" s="79">
        <v>4</v>
      </c>
      <c r="M9" s="79">
        <v>5</v>
      </c>
      <c r="N9" s="90">
        <v>9009</v>
      </c>
    </row>
    <row r="10" spans="1:14">
      <c r="A10" s="78">
        <v>1075664031</v>
      </c>
      <c r="B10" s="79">
        <v>92</v>
      </c>
      <c r="C10" s="79">
        <v>1</v>
      </c>
      <c r="D10" s="79">
        <v>16</v>
      </c>
      <c r="E10" s="79">
        <v>2</v>
      </c>
      <c r="F10" s="79">
        <v>8425000</v>
      </c>
      <c r="G10" s="79">
        <v>155105226.19</v>
      </c>
      <c r="H10" s="79">
        <v>30000000</v>
      </c>
      <c r="I10" s="79">
        <v>69080527</v>
      </c>
      <c r="J10" s="79">
        <v>0</v>
      </c>
      <c r="K10" s="79">
        <v>2</v>
      </c>
      <c r="L10" s="79">
        <v>7</v>
      </c>
      <c r="M10" s="79">
        <v>1</v>
      </c>
      <c r="N10" s="90">
        <v>9001</v>
      </c>
    </row>
    <row r="11" spans="1:14">
      <c r="A11" s="78">
        <v>1088267234</v>
      </c>
      <c r="B11" s="79">
        <v>69</v>
      </c>
      <c r="C11" s="79">
        <v>3</v>
      </c>
      <c r="D11" s="79">
        <v>12</v>
      </c>
      <c r="E11" s="79">
        <v>7</v>
      </c>
      <c r="F11" s="79">
        <v>1970000</v>
      </c>
      <c r="G11" s="79">
        <v>80200000</v>
      </c>
      <c r="H11" s="79">
        <v>0</v>
      </c>
      <c r="I11" s="79">
        <v>140672641</v>
      </c>
      <c r="J11" s="79">
        <v>0</v>
      </c>
      <c r="K11" s="79">
        <v>3</v>
      </c>
      <c r="L11" s="79">
        <v>4</v>
      </c>
      <c r="M11" s="79">
        <v>3</v>
      </c>
      <c r="N11" s="90">
        <v>9005</v>
      </c>
    </row>
    <row r="12" spans="1:14">
      <c r="A12" s="78">
        <v>1030553203</v>
      </c>
      <c r="B12" s="79">
        <v>41</v>
      </c>
      <c r="C12" s="79">
        <v>1</v>
      </c>
      <c r="D12" s="79">
        <v>6</v>
      </c>
      <c r="E12" s="79">
        <v>3</v>
      </c>
      <c r="F12" s="79">
        <v>615000</v>
      </c>
      <c r="G12" s="79">
        <v>51770119</v>
      </c>
      <c r="H12" s="79">
        <v>0</v>
      </c>
      <c r="I12" s="79">
        <v>30344466</v>
      </c>
      <c r="J12" s="79">
        <v>0</v>
      </c>
      <c r="K12" s="79">
        <v>0</v>
      </c>
      <c r="L12" s="79">
        <v>3</v>
      </c>
      <c r="M12" s="79">
        <v>0</v>
      </c>
      <c r="N12" s="90">
        <v>9003</v>
      </c>
    </row>
    <row r="13" spans="1:14">
      <c r="A13" s="78">
        <v>1088288465</v>
      </c>
      <c r="B13" s="79">
        <v>40</v>
      </c>
      <c r="C13" s="79">
        <v>2</v>
      </c>
      <c r="D13" s="79">
        <v>16</v>
      </c>
      <c r="E13" s="79">
        <v>2</v>
      </c>
      <c r="F13" s="79">
        <v>8001014.666666666</v>
      </c>
      <c r="G13" s="79">
        <v>105600000</v>
      </c>
      <c r="H13" s="79">
        <v>0</v>
      </c>
      <c r="I13" s="79">
        <v>36451600</v>
      </c>
      <c r="J13" s="79">
        <v>0</v>
      </c>
      <c r="K13" s="79">
        <v>4</v>
      </c>
      <c r="L13" s="79">
        <v>10</v>
      </c>
      <c r="M13" s="79">
        <v>10</v>
      </c>
      <c r="N13" s="90">
        <v>9005</v>
      </c>
    </row>
    <row r="14" spans="1:14">
      <c r="A14" s="78">
        <v>1012357343</v>
      </c>
      <c r="B14" s="79">
        <v>90</v>
      </c>
      <c r="C14" s="79">
        <v>1</v>
      </c>
      <c r="D14" s="79">
        <v>13</v>
      </c>
      <c r="E14" s="79">
        <v>3</v>
      </c>
      <c r="F14" s="79">
        <v>7810000</v>
      </c>
      <c r="G14" s="79">
        <v>8500000</v>
      </c>
      <c r="H14" s="79">
        <v>4968688.2800000012</v>
      </c>
      <c r="I14" s="79">
        <v>15384775</v>
      </c>
      <c r="J14" s="79">
        <v>0</v>
      </c>
      <c r="K14" s="79">
        <v>1</v>
      </c>
      <c r="L14" s="79">
        <v>1</v>
      </c>
      <c r="M14" s="79">
        <v>2</v>
      </c>
      <c r="N14" s="90">
        <v>9004</v>
      </c>
    </row>
    <row r="15" spans="1:14">
      <c r="A15" s="78">
        <v>1090481863</v>
      </c>
      <c r="B15" s="79">
        <v>69</v>
      </c>
      <c r="C15" s="79">
        <v>3</v>
      </c>
      <c r="D15" s="79">
        <v>7</v>
      </c>
      <c r="E15" s="79">
        <v>2</v>
      </c>
      <c r="F15" s="79">
        <v>3690000</v>
      </c>
      <c r="G15" s="79">
        <v>90000000</v>
      </c>
      <c r="H15" s="79">
        <v>0</v>
      </c>
      <c r="I15" s="79">
        <v>33343246</v>
      </c>
      <c r="J15" s="79">
        <v>0</v>
      </c>
      <c r="K15" s="79">
        <v>0</v>
      </c>
      <c r="L15" s="79">
        <v>12</v>
      </c>
      <c r="M15" s="79">
        <v>4</v>
      </c>
      <c r="N15" s="90">
        <v>9008</v>
      </c>
    </row>
    <row r="16" spans="1:14">
      <c r="A16" s="78">
        <v>52911577</v>
      </c>
      <c r="B16" s="79">
        <v>45</v>
      </c>
      <c r="C16" s="79">
        <v>3</v>
      </c>
      <c r="D16" s="79">
        <v>13</v>
      </c>
      <c r="E16" s="79">
        <v>2</v>
      </c>
      <c r="F16" s="79">
        <v>2865416.666666667</v>
      </c>
      <c r="G16" s="79">
        <v>91000000</v>
      </c>
      <c r="H16" s="79">
        <v>7900000</v>
      </c>
      <c r="I16" s="79">
        <v>124983990</v>
      </c>
      <c r="J16" s="79">
        <v>0</v>
      </c>
      <c r="K16" s="79">
        <v>0</v>
      </c>
      <c r="L16" s="79">
        <v>7</v>
      </c>
      <c r="M16" s="79">
        <v>2</v>
      </c>
      <c r="N16" s="90">
        <v>9003</v>
      </c>
    </row>
    <row r="17" spans="1:14">
      <c r="A17" s="78">
        <v>1016047173</v>
      </c>
      <c r="B17" s="79">
        <v>55</v>
      </c>
      <c r="C17" s="79">
        <v>3</v>
      </c>
      <c r="D17" s="79">
        <v>10</v>
      </c>
      <c r="E17" s="79">
        <v>0</v>
      </c>
      <c r="F17" s="79">
        <v>0</v>
      </c>
      <c r="G17" s="79">
        <v>91000000</v>
      </c>
      <c r="H17" s="79">
        <v>0</v>
      </c>
      <c r="I17" s="79">
        <v>44399475</v>
      </c>
      <c r="J17" s="79">
        <v>0</v>
      </c>
      <c r="K17" s="79">
        <v>0</v>
      </c>
      <c r="L17" s="79">
        <v>4</v>
      </c>
      <c r="M17" s="79">
        <v>0</v>
      </c>
      <c r="N17" s="90">
        <v>9004</v>
      </c>
    </row>
    <row r="18" spans="1:14">
      <c r="A18" s="78">
        <v>86061163</v>
      </c>
      <c r="B18" s="79">
        <v>65</v>
      </c>
      <c r="C18" s="79">
        <v>3</v>
      </c>
      <c r="D18" s="79">
        <v>4</v>
      </c>
      <c r="E18" s="79">
        <v>6</v>
      </c>
      <c r="F18" s="79">
        <v>6275000</v>
      </c>
      <c r="G18" s="79">
        <v>56100000</v>
      </c>
      <c r="H18" s="79">
        <v>0</v>
      </c>
      <c r="I18" s="79">
        <v>72934137</v>
      </c>
      <c r="J18" s="79">
        <v>0</v>
      </c>
      <c r="K18" s="79">
        <v>5</v>
      </c>
      <c r="L18" s="79">
        <v>7</v>
      </c>
      <c r="M18" s="79">
        <v>6</v>
      </c>
      <c r="N18" s="90">
        <v>9008</v>
      </c>
    </row>
    <row r="19" spans="1:14">
      <c r="A19" s="78">
        <v>1014177866</v>
      </c>
      <c r="B19" s="79">
        <v>73</v>
      </c>
      <c r="C19" s="79">
        <v>2</v>
      </c>
      <c r="D19" s="79">
        <v>9</v>
      </c>
      <c r="E19" s="79">
        <v>4</v>
      </c>
      <c r="F19" s="79">
        <v>-1338560.5</v>
      </c>
      <c r="G19" s="79">
        <v>0</v>
      </c>
      <c r="H19" s="79">
        <v>42000000</v>
      </c>
      <c r="I19" s="79">
        <v>91291845</v>
      </c>
      <c r="J19" s="79">
        <v>0</v>
      </c>
      <c r="K19" s="79">
        <v>0</v>
      </c>
      <c r="L19" s="79">
        <v>4</v>
      </c>
      <c r="M19" s="79">
        <v>17</v>
      </c>
      <c r="N19" s="90">
        <v>9002</v>
      </c>
    </row>
    <row r="20" spans="1:14">
      <c r="A20" s="78">
        <v>1098784756</v>
      </c>
      <c r="B20" s="79">
        <v>109</v>
      </c>
      <c r="C20" s="79">
        <v>2</v>
      </c>
      <c r="D20" s="79">
        <v>11</v>
      </c>
      <c r="E20" s="79">
        <v>1</v>
      </c>
      <c r="F20" s="79">
        <v>2645000</v>
      </c>
      <c r="G20" s="79">
        <v>25000000</v>
      </c>
      <c r="H20" s="79">
        <v>6032766.7400000002</v>
      </c>
      <c r="I20" s="79">
        <v>56548786</v>
      </c>
      <c r="J20" s="79">
        <v>20000000</v>
      </c>
      <c r="K20" s="79">
        <v>2</v>
      </c>
      <c r="L20" s="79">
        <v>2</v>
      </c>
      <c r="M20" s="79">
        <v>4</v>
      </c>
      <c r="N20" s="90">
        <v>9008</v>
      </c>
    </row>
    <row r="21" spans="1:14">
      <c r="A21" s="78">
        <v>1013625614</v>
      </c>
      <c r="B21" s="79">
        <v>46</v>
      </c>
      <c r="C21" s="79">
        <v>3</v>
      </c>
      <c r="D21" s="79">
        <v>6</v>
      </c>
      <c r="E21" s="79">
        <v>1</v>
      </c>
      <c r="F21" s="79">
        <v>3320000</v>
      </c>
      <c r="G21" s="79">
        <v>7000000</v>
      </c>
      <c r="H21" s="79">
        <v>18000000</v>
      </c>
      <c r="I21" s="79">
        <v>14785775</v>
      </c>
      <c r="J21" s="79">
        <v>0</v>
      </c>
      <c r="K21" s="79">
        <v>1</v>
      </c>
      <c r="L21" s="79">
        <v>5</v>
      </c>
      <c r="M21" s="79">
        <v>4</v>
      </c>
      <c r="N21" s="90">
        <v>9007</v>
      </c>
    </row>
    <row r="22" spans="1:14">
      <c r="A22" s="78">
        <v>78031890</v>
      </c>
      <c r="B22" s="79">
        <v>60</v>
      </c>
      <c r="C22" s="79">
        <v>2</v>
      </c>
      <c r="D22" s="79">
        <v>3</v>
      </c>
      <c r="E22" s="79">
        <v>2</v>
      </c>
      <c r="F22" s="79">
        <v>7214834.166666667</v>
      </c>
      <c r="G22" s="79">
        <v>91200000</v>
      </c>
      <c r="H22" s="79">
        <v>0</v>
      </c>
      <c r="I22" s="79">
        <v>39819000</v>
      </c>
      <c r="J22" s="79">
        <v>0</v>
      </c>
      <c r="K22" s="79">
        <v>8</v>
      </c>
      <c r="L22" s="79">
        <v>7</v>
      </c>
      <c r="M22" s="79">
        <v>14</v>
      </c>
      <c r="N22" s="90">
        <v>9004</v>
      </c>
    </row>
    <row r="23" spans="1:14">
      <c r="A23" s="78">
        <v>80169986</v>
      </c>
      <c r="B23" s="79">
        <v>63</v>
      </c>
      <c r="C23" s="79">
        <v>4</v>
      </c>
      <c r="D23" s="79">
        <v>13</v>
      </c>
      <c r="E23" s="79">
        <v>6</v>
      </c>
      <c r="F23" s="79">
        <v>7248568.5</v>
      </c>
      <c r="G23" s="79">
        <v>62400000</v>
      </c>
      <c r="H23" s="79">
        <v>0</v>
      </c>
      <c r="I23" s="79">
        <v>113212900</v>
      </c>
      <c r="J23" s="79">
        <v>0</v>
      </c>
      <c r="K23" s="79">
        <v>6</v>
      </c>
      <c r="L23" s="79">
        <v>14</v>
      </c>
      <c r="M23" s="79">
        <v>6</v>
      </c>
      <c r="N23" s="90">
        <v>9002</v>
      </c>
    </row>
    <row r="24" spans="1:14">
      <c r="A24" s="78">
        <v>1073383917</v>
      </c>
      <c r="B24" s="79">
        <v>37</v>
      </c>
      <c r="C24" s="79">
        <v>1</v>
      </c>
      <c r="D24" s="79">
        <v>3</v>
      </c>
      <c r="E24" s="79">
        <v>2</v>
      </c>
      <c r="F24" s="79">
        <v>1230000</v>
      </c>
      <c r="G24" s="79">
        <v>10000000</v>
      </c>
      <c r="H24" s="79">
        <v>0</v>
      </c>
      <c r="I24" s="79">
        <v>22540000</v>
      </c>
      <c r="J24" s="79">
        <v>0</v>
      </c>
      <c r="K24" s="79">
        <v>1</v>
      </c>
      <c r="L24" s="79">
        <v>0</v>
      </c>
      <c r="M24" s="79">
        <v>0</v>
      </c>
      <c r="N24" s="90">
        <v>9007</v>
      </c>
    </row>
    <row r="25" spans="1:14">
      <c r="A25" s="78">
        <v>1128391746</v>
      </c>
      <c r="B25" s="79">
        <v>51</v>
      </c>
      <c r="C25" s="79">
        <v>1</v>
      </c>
      <c r="D25" s="79">
        <v>4</v>
      </c>
      <c r="E25" s="79">
        <v>4</v>
      </c>
      <c r="F25" s="79">
        <v>6090000</v>
      </c>
      <c r="G25" s="79">
        <v>82480000</v>
      </c>
      <c r="H25" s="79">
        <v>22500000</v>
      </c>
      <c r="I25" s="79">
        <v>61527000</v>
      </c>
      <c r="J25" s="79">
        <v>0</v>
      </c>
      <c r="K25" s="79">
        <v>8</v>
      </c>
      <c r="L25" s="79">
        <v>11</v>
      </c>
      <c r="M25" s="79">
        <v>8</v>
      </c>
      <c r="N25" s="90">
        <v>9005</v>
      </c>
    </row>
    <row r="26" spans="1:14">
      <c r="A26" s="78">
        <v>1088284278</v>
      </c>
      <c r="B26" s="79">
        <v>69</v>
      </c>
      <c r="C26" s="79">
        <v>5</v>
      </c>
      <c r="D26" s="79">
        <v>12</v>
      </c>
      <c r="E26" s="79">
        <v>10</v>
      </c>
      <c r="F26" s="79">
        <v>9693000</v>
      </c>
      <c r="G26" s="79">
        <v>161500000</v>
      </c>
      <c r="H26" s="79">
        <v>34000000</v>
      </c>
      <c r="I26" s="79">
        <v>136409648</v>
      </c>
      <c r="J26" s="79">
        <v>0</v>
      </c>
      <c r="K26" s="79">
        <v>7</v>
      </c>
      <c r="L26" s="79">
        <v>10</v>
      </c>
      <c r="M26" s="79">
        <v>9</v>
      </c>
      <c r="N26" s="90">
        <v>9005</v>
      </c>
    </row>
    <row r="27" spans="1:14">
      <c r="A27" s="78">
        <v>42140064</v>
      </c>
      <c r="B27" s="79">
        <v>79</v>
      </c>
      <c r="C27" s="79">
        <v>6</v>
      </c>
      <c r="D27" s="79">
        <v>10</v>
      </c>
      <c r="E27" s="79">
        <v>7</v>
      </c>
      <c r="F27" s="79">
        <v>9911666.666666666</v>
      </c>
      <c r="G27" s="79">
        <v>62800000.000000007</v>
      </c>
      <c r="H27" s="79">
        <v>11600000</v>
      </c>
      <c r="I27" s="79">
        <v>86206921</v>
      </c>
      <c r="J27" s="79">
        <v>0</v>
      </c>
      <c r="K27" s="79">
        <v>7</v>
      </c>
      <c r="L27" s="79">
        <v>13</v>
      </c>
      <c r="M27" s="79">
        <v>11</v>
      </c>
      <c r="N27" s="90">
        <v>9008</v>
      </c>
    </row>
    <row r="28" spans="1:14">
      <c r="A28" s="78">
        <v>1098657835</v>
      </c>
      <c r="B28" s="79">
        <v>76</v>
      </c>
      <c r="C28" s="79">
        <v>0</v>
      </c>
      <c r="D28" s="79">
        <v>11</v>
      </c>
      <c r="E28" s="79">
        <v>9</v>
      </c>
      <c r="F28" s="79">
        <v>1391472</v>
      </c>
      <c r="G28" s="79">
        <v>22300000</v>
      </c>
      <c r="H28" s="79">
        <v>5200000</v>
      </c>
      <c r="I28" s="79">
        <v>89759707</v>
      </c>
      <c r="J28" s="79">
        <v>0</v>
      </c>
      <c r="K28" s="79">
        <v>3</v>
      </c>
      <c r="L28" s="79">
        <v>6</v>
      </c>
      <c r="M28" s="79">
        <v>7</v>
      </c>
      <c r="N28" s="90">
        <v>9001</v>
      </c>
    </row>
    <row r="29" spans="1:14">
      <c r="A29" s="78">
        <v>39758972</v>
      </c>
      <c r="B29" s="79">
        <v>86</v>
      </c>
      <c r="C29" s="79">
        <v>3</v>
      </c>
      <c r="D29" s="79">
        <v>8</v>
      </c>
      <c r="E29" s="79">
        <v>5</v>
      </c>
      <c r="F29" s="79">
        <v>1430416.6666666667</v>
      </c>
      <c r="G29" s="79">
        <v>37300000</v>
      </c>
      <c r="H29" s="79">
        <v>35000000</v>
      </c>
      <c r="I29" s="79">
        <v>37903000</v>
      </c>
      <c r="J29" s="79">
        <v>0</v>
      </c>
      <c r="K29" s="79">
        <v>5</v>
      </c>
      <c r="L29" s="79">
        <v>18</v>
      </c>
      <c r="M29" s="79">
        <v>10</v>
      </c>
      <c r="N29" s="90">
        <v>9005</v>
      </c>
    </row>
    <row r="30" spans="1:14">
      <c r="A30" s="78">
        <v>1093223462</v>
      </c>
      <c r="B30" s="79">
        <v>84</v>
      </c>
      <c r="C30" s="79">
        <v>7</v>
      </c>
      <c r="D30" s="79">
        <v>13</v>
      </c>
      <c r="E30" s="79">
        <v>5</v>
      </c>
      <c r="F30" s="79">
        <v>7581250</v>
      </c>
      <c r="G30" s="79">
        <v>41200000</v>
      </c>
      <c r="H30" s="79">
        <v>21000000</v>
      </c>
      <c r="I30" s="79">
        <v>83879495</v>
      </c>
      <c r="J30" s="79">
        <v>0</v>
      </c>
      <c r="K30" s="79">
        <v>6</v>
      </c>
      <c r="L30" s="79">
        <v>15</v>
      </c>
      <c r="M30" s="79">
        <v>17</v>
      </c>
      <c r="N30" s="90">
        <v>9001</v>
      </c>
    </row>
    <row r="31" spans="1:14">
      <c r="A31" s="78">
        <v>1020756518</v>
      </c>
      <c r="B31" s="79">
        <v>34</v>
      </c>
      <c r="C31" s="79">
        <v>7</v>
      </c>
      <c r="D31" s="79">
        <v>10</v>
      </c>
      <c r="E31" s="79">
        <v>5</v>
      </c>
      <c r="F31" s="79">
        <v>370000</v>
      </c>
      <c r="G31" s="79">
        <v>34500000</v>
      </c>
      <c r="H31" s="79">
        <v>0</v>
      </c>
      <c r="I31" s="79">
        <v>58950850</v>
      </c>
      <c r="J31" s="79">
        <v>0</v>
      </c>
      <c r="K31" s="79">
        <v>2</v>
      </c>
      <c r="L31" s="79">
        <v>2</v>
      </c>
      <c r="M31" s="79">
        <v>6</v>
      </c>
      <c r="N31" s="90">
        <v>9008</v>
      </c>
    </row>
    <row r="32" spans="1:14">
      <c r="A32" s="78">
        <v>1090416967</v>
      </c>
      <c r="B32" s="79">
        <v>76</v>
      </c>
      <c r="C32" s="79">
        <v>1</v>
      </c>
      <c r="D32" s="79">
        <v>13</v>
      </c>
      <c r="E32" s="79">
        <v>1</v>
      </c>
      <c r="F32" s="79">
        <v>7136666.666666667</v>
      </c>
      <c r="G32" s="79">
        <v>79400000</v>
      </c>
      <c r="H32" s="79">
        <v>0</v>
      </c>
      <c r="I32" s="79">
        <v>33332367</v>
      </c>
      <c r="J32" s="79">
        <v>0</v>
      </c>
      <c r="K32" s="79">
        <v>2</v>
      </c>
      <c r="L32" s="79">
        <v>17</v>
      </c>
      <c r="M32" s="79">
        <v>16</v>
      </c>
      <c r="N32" s="90">
        <v>9004</v>
      </c>
    </row>
    <row r="33" spans="1:14">
      <c r="A33" s="78">
        <v>1012346611</v>
      </c>
      <c r="B33" s="79">
        <v>49</v>
      </c>
      <c r="C33" s="79">
        <v>10</v>
      </c>
      <c r="D33" s="79">
        <v>12</v>
      </c>
      <c r="E33" s="79">
        <v>2</v>
      </c>
      <c r="F33" s="79">
        <v>2460000</v>
      </c>
      <c r="G33" s="79">
        <v>20000000</v>
      </c>
      <c r="H33" s="79">
        <v>92000000</v>
      </c>
      <c r="I33" s="79">
        <v>9340000</v>
      </c>
      <c r="J33" s="79">
        <v>0</v>
      </c>
      <c r="K33" s="79">
        <v>2</v>
      </c>
      <c r="L33" s="79">
        <v>7</v>
      </c>
      <c r="M33" s="79">
        <v>4</v>
      </c>
      <c r="N33" s="90">
        <v>9003</v>
      </c>
    </row>
    <row r="34" spans="1:14">
      <c r="A34" s="78">
        <v>52458890</v>
      </c>
      <c r="B34" s="79">
        <v>99</v>
      </c>
      <c r="C34" s="79">
        <v>0</v>
      </c>
      <c r="D34" s="79">
        <v>13</v>
      </c>
      <c r="E34" s="79">
        <v>4</v>
      </c>
      <c r="F34" s="79">
        <v>8550000</v>
      </c>
      <c r="G34" s="79">
        <v>81700000</v>
      </c>
      <c r="H34" s="79">
        <v>0</v>
      </c>
      <c r="I34" s="79">
        <v>54215000</v>
      </c>
      <c r="J34" s="79">
        <v>0</v>
      </c>
      <c r="K34" s="79">
        <v>6</v>
      </c>
      <c r="L34" s="79">
        <v>7</v>
      </c>
      <c r="M34" s="79">
        <v>3</v>
      </c>
      <c r="N34" s="90">
        <v>9009</v>
      </c>
    </row>
    <row r="35" spans="1:14">
      <c r="A35" s="78">
        <v>73199300</v>
      </c>
      <c r="B35" s="79">
        <v>76</v>
      </c>
      <c r="C35" s="79">
        <v>2</v>
      </c>
      <c r="D35" s="79">
        <v>5</v>
      </c>
      <c r="E35" s="79">
        <v>0</v>
      </c>
      <c r="F35" s="79">
        <v>3924749.5</v>
      </c>
      <c r="G35" s="79">
        <v>35000000</v>
      </c>
      <c r="H35" s="79">
        <v>0</v>
      </c>
      <c r="I35" s="79">
        <v>20690084</v>
      </c>
      <c r="J35" s="79">
        <v>0</v>
      </c>
      <c r="K35" s="79">
        <v>2</v>
      </c>
      <c r="L35" s="79">
        <v>8</v>
      </c>
      <c r="M35" s="79">
        <v>24</v>
      </c>
      <c r="N35" s="90">
        <v>9007</v>
      </c>
    </row>
    <row r="36" spans="1:14">
      <c r="A36" s="78">
        <v>43996380</v>
      </c>
      <c r="B36" s="79">
        <v>69</v>
      </c>
      <c r="C36" s="79">
        <v>5</v>
      </c>
      <c r="D36" s="79">
        <v>13</v>
      </c>
      <c r="E36" s="79">
        <v>5</v>
      </c>
      <c r="F36" s="79">
        <v>7505000</v>
      </c>
      <c r="G36" s="79">
        <v>193385000</v>
      </c>
      <c r="H36" s="79">
        <v>0</v>
      </c>
      <c r="I36" s="79">
        <v>141795661</v>
      </c>
      <c r="J36" s="79">
        <v>0</v>
      </c>
      <c r="K36" s="79">
        <v>9</v>
      </c>
      <c r="L36" s="79">
        <v>12</v>
      </c>
      <c r="M36" s="79">
        <v>11</v>
      </c>
      <c r="N36" s="90">
        <v>9008</v>
      </c>
    </row>
    <row r="37" spans="1:14">
      <c r="A37" s="78">
        <v>40394022</v>
      </c>
      <c r="B37" s="79">
        <v>56</v>
      </c>
      <c r="C37" s="79">
        <v>1</v>
      </c>
      <c r="D37" s="79">
        <v>8</v>
      </c>
      <c r="E37" s="79">
        <v>2</v>
      </c>
      <c r="F37" s="79">
        <v>7380000</v>
      </c>
      <c r="G37" s="79">
        <v>138300000</v>
      </c>
      <c r="H37" s="79">
        <v>23000000</v>
      </c>
      <c r="I37" s="79">
        <v>26835381</v>
      </c>
      <c r="J37" s="79">
        <v>0</v>
      </c>
      <c r="K37" s="79">
        <v>9</v>
      </c>
      <c r="L37" s="79">
        <v>10</v>
      </c>
      <c r="M37" s="79">
        <v>10</v>
      </c>
      <c r="N37" s="90">
        <v>9005</v>
      </c>
    </row>
    <row r="38" spans="1:14">
      <c r="A38" s="78">
        <v>24552785</v>
      </c>
      <c r="B38" s="79">
        <v>80</v>
      </c>
      <c r="C38" s="79">
        <v>1</v>
      </c>
      <c r="D38" s="79">
        <v>4</v>
      </c>
      <c r="E38" s="79">
        <v>11</v>
      </c>
      <c r="F38" s="79">
        <v>3445000</v>
      </c>
      <c r="G38" s="79">
        <v>63000000</v>
      </c>
      <c r="H38" s="79">
        <v>0</v>
      </c>
      <c r="I38" s="79">
        <v>62179271</v>
      </c>
      <c r="J38" s="79">
        <v>0</v>
      </c>
      <c r="K38" s="79">
        <v>1</v>
      </c>
      <c r="L38" s="79">
        <v>8</v>
      </c>
      <c r="M38" s="79">
        <v>5</v>
      </c>
      <c r="N38" s="90">
        <v>9002</v>
      </c>
    </row>
    <row r="39" spans="1:14">
      <c r="A39" s="78">
        <v>1063146925</v>
      </c>
      <c r="B39" s="79">
        <v>65</v>
      </c>
      <c r="C39" s="79">
        <v>2</v>
      </c>
      <c r="D39" s="79">
        <v>12</v>
      </c>
      <c r="E39" s="79">
        <v>2</v>
      </c>
      <c r="F39" s="79">
        <v>9276250</v>
      </c>
      <c r="G39" s="79">
        <v>75400000</v>
      </c>
      <c r="H39" s="79">
        <v>14000000</v>
      </c>
      <c r="I39" s="79">
        <v>73657212</v>
      </c>
      <c r="J39" s="79">
        <v>0</v>
      </c>
      <c r="K39" s="79">
        <v>3</v>
      </c>
      <c r="L39" s="79">
        <v>3</v>
      </c>
      <c r="M39" s="79">
        <v>4</v>
      </c>
      <c r="N39" s="90">
        <v>9006</v>
      </c>
    </row>
    <row r="40" spans="1:14">
      <c r="A40" s="78">
        <v>1143835057</v>
      </c>
      <c r="B40" s="79">
        <v>87</v>
      </c>
      <c r="C40" s="79">
        <v>7</v>
      </c>
      <c r="D40" s="79">
        <v>12</v>
      </c>
      <c r="E40" s="79">
        <v>2</v>
      </c>
      <c r="F40" s="79">
        <v>10641539.166666666</v>
      </c>
      <c r="G40" s="79">
        <v>105765479.67</v>
      </c>
      <c r="H40" s="79">
        <v>47000000</v>
      </c>
      <c r="I40" s="79">
        <v>73418600</v>
      </c>
      <c r="J40" s="79">
        <v>0</v>
      </c>
      <c r="K40" s="79">
        <v>10</v>
      </c>
      <c r="L40" s="79">
        <v>14</v>
      </c>
      <c r="M40" s="79">
        <v>8</v>
      </c>
      <c r="N40" s="90">
        <v>9007</v>
      </c>
    </row>
    <row r="41" spans="1:14">
      <c r="A41" s="78">
        <v>1037599855</v>
      </c>
      <c r="B41" s="79">
        <v>41</v>
      </c>
      <c r="C41" s="79">
        <v>1</v>
      </c>
      <c r="D41" s="79">
        <v>1</v>
      </c>
      <c r="E41" s="79">
        <v>3</v>
      </c>
      <c r="F41" s="79">
        <v>5735416.666666667</v>
      </c>
      <c r="G41" s="79">
        <v>105765280.08</v>
      </c>
      <c r="H41" s="79">
        <v>0</v>
      </c>
      <c r="I41" s="79">
        <v>83624048</v>
      </c>
      <c r="J41" s="79">
        <v>0</v>
      </c>
      <c r="K41" s="79">
        <v>5</v>
      </c>
      <c r="L41" s="79">
        <v>12</v>
      </c>
      <c r="M41" s="79">
        <v>10</v>
      </c>
      <c r="N41" s="90">
        <v>9001</v>
      </c>
    </row>
    <row r="42" spans="1:14">
      <c r="A42" s="78">
        <v>1121860724</v>
      </c>
      <c r="B42" s="79">
        <v>37</v>
      </c>
      <c r="C42" s="79">
        <v>7</v>
      </c>
      <c r="D42" s="79">
        <v>12</v>
      </c>
      <c r="E42" s="79">
        <v>3</v>
      </c>
      <c r="F42" s="79">
        <v>4120000</v>
      </c>
      <c r="G42" s="79">
        <v>22230000</v>
      </c>
      <c r="H42" s="79">
        <v>5000000</v>
      </c>
      <c r="I42" s="79">
        <v>117961000</v>
      </c>
      <c r="J42" s="79">
        <v>0</v>
      </c>
      <c r="K42" s="79">
        <v>3</v>
      </c>
      <c r="L42" s="79">
        <v>7</v>
      </c>
      <c r="M42" s="79">
        <v>0</v>
      </c>
      <c r="N42" s="90">
        <v>9001</v>
      </c>
    </row>
    <row r="43" spans="1:14">
      <c r="A43" s="78">
        <v>1014186944</v>
      </c>
      <c r="B43" s="79">
        <v>94</v>
      </c>
      <c r="C43" s="79">
        <v>2</v>
      </c>
      <c r="D43" s="79">
        <v>3</v>
      </c>
      <c r="E43" s="79">
        <v>1</v>
      </c>
      <c r="F43" s="79">
        <v>5780000</v>
      </c>
      <c r="G43" s="79">
        <v>148300000</v>
      </c>
      <c r="H43" s="79">
        <v>75000000</v>
      </c>
      <c r="I43" s="79">
        <v>79790050</v>
      </c>
      <c r="J43" s="79">
        <v>0</v>
      </c>
      <c r="K43" s="79">
        <v>6</v>
      </c>
      <c r="L43" s="79">
        <v>3</v>
      </c>
      <c r="M43" s="79">
        <v>3</v>
      </c>
      <c r="N43" s="90">
        <v>9003</v>
      </c>
    </row>
    <row r="44" spans="1:14">
      <c r="A44" s="78">
        <v>1022390564</v>
      </c>
      <c r="B44" s="79">
        <v>37</v>
      </c>
      <c r="C44" s="79">
        <v>1</v>
      </c>
      <c r="D44" s="79">
        <v>12</v>
      </c>
      <c r="E44" s="79">
        <v>4</v>
      </c>
      <c r="F44" s="79">
        <v>5553000</v>
      </c>
      <c r="G44" s="79">
        <v>77800000</v>
      </c>
      <c r="H44" s="79">
        <v>56977639.469999999</v>
      </c>
      <c r="I44" s="79">
        <v>92376044</v>
      </c>
      <c r="J44" s="79">
        <v>0</v>
      </c>
      <c r="K44" s="79">
        <v>11</v>
      </c>
      <c r="L44" s="79">
        <v>17</v>
      </c>
      <c r="M44" s="79">
        <v>17</v>
      </c>
      <c r="N44" s="90">
        <v>9002</v>
      </c>
    </row>
    <row r="45" spans="1:14">
      <c r="A45" s="78">
        <v>53013251</v>
      </c>
      <c r="B45" s="79">
        <v>57</v>
      </c>
      <c r="C45" s="79">
        <v>1</v>
      </c>
      <c r="D45" s="79">
        <v>8</v>
      </c>
      <c r="E45" s="79">
        <v>4</v>
      </c>
      <c r="F45" s="79">
        <v>8050268.666666667</v>
      </c>
      <c r="G45" s="79">
        <v>54800000</v>
      </c>
      <c r="H45" s="79">
        <v>0</v>
      </c>
      <c r="I45" s="79">
        <v>142320000</v>
      </c>
      <c r="J45" s="79">
        <v>0</v>
      </c>
      <c r="K45" s="79">
        <v>9</v>
      </c>
      <c r="L45" s="79">
        <v>10</v>
      </c>
      <c r="M45" s="79">
        <v>11</v>
      </c>
      <c r="N45" s="90">
        <v>9001</v>
      </c>
    </row>
    <row r="46" spans="1:14">
      <c r="A46" s="78">
        <v>53071321</v>
      </c>
      <c r="B46" s="79">
        <v>78</v>
      </c>
      <c r="C46" s="79">
        <v>8</v>
      </c>
      <c r="D46" s="79">
        <v>15</v>
      </c>
      <c r="E46" s="79">
        <v>2</v>
      </c>
      <c r="F46" s="79">
        <v>8610000</v>
      </c>
      <c r="G46" s="79">
        <v>68000000</v>
      </c>
      <c r="H46" s="79">
        <v>0</v>
      </c>
      <c r="I46" s="79">
        <v>172125941</v>
      </c>
      <c r="J46" s="79">
        <v>0</v>
      </c>
      <c r="K46" s="79">
        <v>0</v>
      </c>
      <c r="L46" s="79">
        <v>0</v>
      </c>
      <c r="M46" s="79">
        <v>0</v>
      </c>
      <c r="N46" s="90">
        <v>9002</v>
      </c>
    </row>
    <row r="47" spans="1:14">
      <c r="A47" s="78">
        <v>1007438660</v>
      </c>
      <c r="B47" s="79">
        <v>60</v>
      </c>
      <c r="C47" s="79">
        <v>0</v>
      </c>
      <c r="D47" s="79">
        <v>10</v>
      </c>
      <c r="E47" s="79">
        <v>4</v>
      </c>
      <c r="F47" s="79">
        <v>7392798.333333333</v>
      </c>
      <c r="G47" s="79">
        <v>50100000</v>
      </c>
      <c r="H47" s="79">
        <v>0</v>
      </c>
      <c r="I47" s="79">
        <v>37178000</v>
      </c>
      <c r="J47" s="79">
        <v>0</v>
      </c>
      <c r="K47" s="79">
        <v>0</v>
      </c>
      <c r="L47" s="79">
        <v>10</v>
      </c>
      <c r="M47" s="79">
        <v>10</v>
      </c>
      <c r="N47" s="90">
        <v>9007</v>
      </c>
    </row>
    <row r="48" spans="1:14">
      <c r="A48" s="78">
        <v>22790319</v>
      </c>
      <c r="B48" s="79">
        <v>51</v>
      </c>
      <c r="C48" s="79">
        <v>1</v>
      </c>
      <c r="D48" s="79">
        <v>7</v>
      </c>
      <c r="E48" s="79">
        <v>0</v>
      </c>
      <c r="F48" s="79">
        <v>7195000</v>
      </c>
      <c r="G48" s="79">
        <v>69000000</v>
      </c>
      <c r="H48" s="79">
        <v>0</v>
      </c>
      <c r="I48" s="79">
        <v>39970725</v>
      </c>
      <c r="J48" s="79">
        <v>0</v>
      </c>
      <c r="K48" s="79">
        <v>2</v>
      </c>
      <c r="L48" s="79">
        <v>6</v>
      </c>
      <c r="M48" s="79">
        <v>2</v>
      </c>
      <c r="N48" s="90">
        <v>9007</v>
      </c>
    </row>
    <row r="49" spans="1:14">
      <c r="A49" s="78">
        <v>1037602972</v>
      </c>
      <c r="B49" s="79">
        <v>29</v>
      </c>
      <c r="C49" s="79">
        <v>0</v>
      </c>
      <c r="D49" s="79">
        <v>12</v>
      </c>
      <c r="E49" s="79">
        <v>5</v>
      </c>
      <c r="F49" s="79">
        <v>1894250</v>
      </c>
      <c r="G49" s="79">
        <v>81300000</v>
      </c>
      <c r="H49" s="79">
        <v>0</v>
      </c>
      <c r="I49" s="79">
        <v>186017067</v>
      </c>
      <c r="J49" s="79">
        <v>0</v>
      </c>
      <c r="K49" s="79">
        <v>2</v>
      </c>
      <c r="L49" s="79">
        <v>10</v>
      </c>
      <c r="M49" s="79">
        <v>8</v>
      </c>
      <c r="N49" s="90">
        <v>9001</v>
      </c>
    </row>
    <row r="50" spans="1:14">
      <c r="A50" s="78">
        <v>53001497</v>
      </c>
      <c r="B50" s="79">
        <v>34</v>
      </c>
      <c r="C50" s="79">
        <v>3</v>
      </c>
      <c r="D50" s="79">
        <v>12</v>
      </c>
      <c r="E50" s="79">
        <v>4</v>
      </c>
      <c r="F50" s="79">
        <v>3690000</v>
      </c>
      <c r="G50" s="79">
        <v>141800000</v>
      </c>
      <c r="H50" s="79">
        <v>25500000</v>
      </c>
      <c r="I50" s="79">
        <v>139733909</v>
      </c>
      <c r="J50" s="79">
        <v>0</v>
      </c>
      <c r="K50" s="79">
        <v>0</v>
      </c>
      <c r="L50" s="79">
        <v>10</v>
      </c>
      <c r="M50" s="79">
        <v>4</v>
      </c>
      <c r="N50" s="90">
        <v>9008</v>
      </c>
    </row>
    <row r="51" spans="1:14">
      <c r="A51" s="78">
        <v>1095942918</v>
      </c>
      <c r="B51" s="79">
        <v>100</v>
      </c>
      <c r="C51" s="79">
        <v>4</v>
      </c>
      <c r="D51" s="79">
        <v>9</v>
      </c>
      <c r="E51" s="79">
        <v>1</v>
      </c>
      <c r="F51" s="79">
        <v>0</v>
      </c>
      <c r="G51" s="79">
        <v>25400000</v>
      </c>
      <c r="H51" s="79">
        <v>23000000</v>
      </c>
      <c r="I51" s="79">
        <v>33038491</v>
      </c>
      <c r="J51" s="79">
        <v>0</v>
      </c>
      <c r="K51" s="79">
        <v>1</v>
      </c>
      <c r="L51" s="79">
        <v>4</v>
      </c>
      <c r="M51" s="79">
        <v>1</v>
      </c>
      <c r="N51" s="90">
        <v>9002</v>
      </c>
    </row>
    <row r="52" spans="1:14">
      <c r="A52" s="78">
        <v>1032445027</v>
      </c>
      <c r="B52" s="79">
        <v>74</v>
      </c>
      <c r="C52" s="79">
        <v>3</v>
      </c>
      <c r="D52" s="79">
        <v>12</v>
      </c>
      <c r="E52" s="79">
        <v>0</v>
      </c>
      <c r="F52" s="79">
        <v>4305000</v>
      </c>
      <c r="G52" s="79">
        <v>31700000</v>
      </c>
      <c r="H52" s="79">
        <v>20000000</v>
      </c>
      <c r="I52" s="79">
        <v>83600915</v>
      </c>
      <c r="J52" s="79">
        <v>0</v>
      </c>
      <c r="K52" s="79">
        <v>2</v>
      </c>
      <c r="L52" s="79">
        <v>5</v>
      </c>
      <c r="M52" s="79">
        <v>1</v>
      </c>
      <c r="N52" s="90">
        <v>9009</v>
      </c>
    </row>
    <row r="53" spans="1:14">
      <c r="A53" s="78">
        <v>1143122100</v>
      </c>
      <c r="B53" s="79">
        <v>42</v>
      </c>
      <c r="C53" s="79">
        <v>1</v>
      </c>
      <c r="D53" s="79">
        <v>15</v>
      </c>
      <c r="E53" s="79">
        <v>1</v>
      </c>
      <c r="F53" s="79">
        <v>6420442</v>
      </c>
      <c r="G53" s="79">
        <v>82100000</v>
      </c>
      <c r="H53" s="79">
        <v>0</v>
      </c>
      <c r="I53" s="79">
        <v>66355416</v>
      </c>
      <c r="J53" s="79">
        <v>0</v>
      </c>
      <c r="K53" s="79">
        <v>0</v>
      </c>
      <c r="L53" s="79">
        <v>10</v>
      </c>
      <c r="M53" s="79">
        <v>4</v>
      </c>
      <c r="N53" s="90">
        <v>9002</v>
      </c>
    </row>
    <row r="54" spans="1:14">
      <c r="A54" s="78">
        <v>1022976107</v>
      </c>
      <c r="B54" s="79">
        <v>41</v>
      </c>
      <c r="C54" s="79">
        <v>2</v>
      </c>
      <c r="D54" s="79">
        <v>6</v>
      </c>
      <c r="E54" s="79">
        <v>5</v>
      </c>
      <c r="F54" s="79">
        <v>5720000</v>
      </c>
      <c r="G54" s="79">
        <v>20000000</v>
      </c>
      <c r="H54" s="79">
        <v>0</v>
      </c>
      <c r="I54" s="79">
        <v>36430000</v>
      </c>
      <c r="J54" s="79">
        <v>0</v>
      </c>
      <c r="K54" s="79">
        <v>8</v>
      </c>
      <c r="L54" s="79">
        <v>2</v>
      </c>
      <c r="M54" s="79">
        <v>0</v>
      </c>
      <c r="N54" s="90">
        <v>9007</v>
      </c>
    </row>
    <row r="55" spans="1:14">
      <c r="A55" s="78">
        <v>1036610700</v>
      </c>
      <c r="B55" s="79">
        <v>78</v>
      </c>
      <c r="C55" s="79">
        <v>4</v>
      </c>
      <c r="D55" s="79">
        <v>7</v>
      </c>
      <c r="E55" s="79">
        <v>0</v>
      </c>
      <c r="F55" s="79">
        <v>1845000</v>
      </c>
      <c r="G55" s="79">
        <v>28800000</v>
      </c>
      <c r="H55" s="79">
        <v>0</v>
      </c>
      <c r="I55" s="79">
        <v>71570812</v>
      </c>
      <c r="J55" s="79">
        <v>0</v>
      </c>
      <c r="K55" s="79">
        <v>1</v>
      </c>
      <c r="L55" s="79">
        <v>1</v>
      </c>
      <c r="M55" s="79">
        <v>6</v>
      </c>
      <c r="N55" s="90">
        <v>9008</v>
      </c>
    </row>
    <row r="56" spans="1:14">
      <c r="A56" s="78">
        <v>40411747</v>
      </c>
      <c r="B56" s="79">
        <v>56</v>
      </c>
      <c r="C56" s="79">
        <v>1</v>
      </c>
      <c r="D56" s="79">
        <v>6</v>
      </c>
      <c r="E56" s="79">
        <v>3</v>
      </c>
      <c r="F56" s="79">
        <v>9040000</v>
      </c>
      <c r="G56" s="79">
        <v>138000000</v>
      </c>
      <c r="H56" s="79">
        <v>15800000</v>
      </c>
      <c r="I56" s="79">
        <v>90856000</v>
      </c>
      <c r="J56" s="79">
        <v>0</v>
      </c>
      <c r="K56" s="79">
        <v>7</v>
      </c>
      <c r="L56" s="79">
        <v>8</v>
      </c>
      <c r="M56" s="79">
        <v>7</v>
      </c>
      <c r="N56" s="90">
        <v>9005</v>
      </c>
    </row>
    <row r="57" spans="1:14">
      <c r="A57" s="78">
        <v>1112762663</v>
      </c>
      <c r="B57" s="79">
        <v>25</v>
      </c>
      <c r="C57" s="79">
        <v>2</v>
      </c>
      <c r="D57" s="79">
        <v>5</v>
      </c>
      <c r="E57" s="79">
        <v>2</v>
      </c>
      <c r="F57" s="79">
        <v>3146666.6666666665</v>
      </c>
      <c r="G57" s="79">
        <v>56000000</v>
      </c>
      <c r="H57" s="79">
        <v>49860105.119999997</v>
      </c>
      <c r="I57" s="79">
        <v>7410000</v>
      </c>
      <c r="J57" s="79">
        <v>0</v>
      </c>
      <c r="K57" s="79">
        <v>2</v>
      </c>
      <c r="L57" s="79">
        <v>2</v>
      </c>
      <c r="M57" s="79">
        <v>2</v>
      </c>
      <c r="N57" s="90">
        <v>9003</v>
      </c>
    </row>
    <row r="58" spans="1:14">
      <c r="A58" s="78">
        <v>1018494555</v>
      </c>
      <c r="B58" s="79">
        <v>45</v>
      </c>
      <c r="C58" s="79">
        <v>7</v>
      </c>
      <c r="D58" s="79">
        <v>12</v>
      </c>
      <c r="E58" s="79">
        <v>2</v>
      </c>
      <c r="F58" s="79">
        <v>-966666.66666666674</v>
      </c>
      <c r="G58" s="79">
        <v>28400000</v>
      </c>
      <c r="H58" s="79">
        <v>64462051.439999998</v>
      </c>
      <c r="I58" s="79">
        <v>85011935</v>
      </c>
      <c r="J58" s="79">
        <v>0</v>
      </c>
      <c r="K58" s="79">
        <v>1</v>
      </c>
      <c r="L58" s="79">
        <v>6</v>
      </c>
      <c r="M58" s="79">
        <v>2</v>
      </c>
      <c r="N58" s="90">
        <v>9008</v>
      </c>
    </row>
    <row r="59" spans="1:14">
      <c r="A59" s="78">
        <v>1090377515</v>
      </c>
      <c r="B59" s="79">
        <v>43</v>
      </c>
      <c r="C59" s="79">
        <v>1</v>
      </c>
      <c r="D59" s="79">
        <v>5</v>
      </c>
      <c r="E59" s="79">
        <v>1</v>
      </c>
      <c r="F59" s="79">
        <v>4920000</v>
      </c>
      <c r="G59" s="79">
        <v>40000000</v>
      </c>
      <c r="H59" s="79">
        <v>0</v>
      </c>
      <c r="I59" s="79">
        <v>13632218</v>
      </c>
      <c r="J59" s="79">
        <v>0</v>
      </c>
      <c r="K59" s="79">
        <v>2</v>
      </c>
      <c r="L59" s="79">
        <v>6</v>
      </c>
      <c r="M59" s="79">
        <v>6</v>
      </c>
      <c r="N59" s="90">
        <v>9005</v>
      </c>
    </row>
    <row r="60" spans="1:14">
      <c r="A60" s="78">
        <v>1097406024</v>
      </c>
      <c r="B60" s="79">
        <v>78</v>
      </c>
      <c r="C60" s="79">
        <v>3</v>
      </c>
      <c r="D60" s="79">
        <v>12</v>
      </c>
      <c r="E60" s="79">
        <v>3</v>
      </c>
      <c r="F60" s="79">
        <v>11070000</v>
      </c>
      <c r="G60" s="79">
        <v>204047592.69999999</v>
      </c>
      <c r="H60" s="79">
        <v>20500000</v>
      </c>
      <c r="I60" s="79">
        <v>33120282</v>
      </c>
      <c r="J60" s="79">
        <v>0</v>
      </c>
      <c r="K60" s="79">
        <v>9</v>
      </c>
      <c r="L60" s="79">
        <v>9</v>
      </c>
      <c r="M60" s="79">
        <v>11</v>
      </c>
      <c r="N60" s="90">
        <v>9004</v>
      </c>
    </row>
    <row r="61" spans="1:14">
      <c r="A61" s="78">
        <v>1026259310</v>
      </c>
      <c r="B61" s="79">
        <v>61</v>
      </c>
      <c r="C61" s="79">
        <v>2</v>
      </c>
      <c r="D61" s="79">
        <v>3</v>
      </c>
      <c r="E61" s="79">
        <v>15</v>
      </c>
      <c r="F61" s="79">
        <v>1969013.5</v>
      </c>
      <c r="G61" s="79">
        <v>31000000</v>
      </c>
      <c r="H61" s="79">
        <v>33500000</v>
      </c>
      <c r="I61" s="79">
        <v>33174162</v>
      </c>
      <c r="J61" s="79">
        <v>0</v>
      </c>
      <c r="K61" s="79">
        <v>5</v>
      </c>
      <c r="L61" s="79">
        <v>8</v>
      </c>
      <c r="M61" s="79">
        <v>8</v>
      </c>
      <c r="N61" s="90">
        <v>9009</v>
      </c>
    </row>
    <row r="62" spans="1:14">
      <c r="A62" s="78">
        <v>1045701669</v>
      </c>
      <c r="B62" s="79">
        <v>53</v>
      </c>
      <c r="C62" s="79">
        <v>1</v>
      </c>
      <c r="D62" s="79">
        <v>9</v>
      </c>
      <c r="E62" s="79">
        <v>4</v>
      </c>
      <c r="F62" s="79">
        <v>7195000</v>
      </c>
      <c r="G62" s="79">
        <v>123000000</v>
      </c>
      <c r="H62" s="79">
        <v>0</v>
      </c>
      <c r="I62" s="79">
        <v>80001292</v>
      </c>
      <c r="J62" s="79">
        <v>0</v>
      </c>
      <c r="K62" s="79">
        <v>9</v>
      </c>
      <c r="L62" s="79">
        <v>8</v>
      </c>
      <c r="M62" s="79">
        <v>10</v>
      </c>
      <c r="N62" s="90">
        <v>9002</v>
      </c>
    </row>
    <row r="63" spans="1:14">
      <c r="A63" s="78">
        <v>80014264</v>
      </c>
      <c r="B63" s="79">
        <v>64</v>
      </c>
      <c r="C63" s="79">
        <v>2</v>
      </c>
      <c r="D63" s="79">
        <v>9</v>
      </c>
      <c r="E63" s="79">
        <v>0</v>
      </c>
      <c r="F63" s="79">
        <v>3690000</v>
      </c>
      <c r="G63" s="79">
        <v>104890131</v>
      </c>
      <c r="H63" s="79">
        <v>0</v>
      </c>
      <c r="I63" s="79">
        <v>13595463</v>
      </c>
      <c r="J63" s="79">
        <v>0</v>
      </c>
      <c r="K63" s="79">
        <v>0</v>
      </c>
      <c r="L63" s="79">
        <v>0</v>
      </c>
      <c r="M63" s="79">
        <v>3</v>
      </c>
      <c r="N63" s="90">
        <v>9002</v>
      </c>
    </row>
    <row r="64" spans="1:14">
      <c r="A64" s="78">
        <v>1019079546</v>
      </c>
      <c r="B64" s="79">
        <v>55</v>
      </c>
      <c r="C64" s="79">
        <v>2</v>
      </c>
      <c r="D64" s="79">
        <v>15</v>
      </c>
      <c r="E64" s="79">
        <v>4</v>
      </c>
      <c r="F64" s="79">
        <v>7310564.25</v>
      </c>
      <c r="G64" s="79">
        <v>60632000</v>
      </c>
      <c r="H64" s="79">
        <v>27825190.449999999</v>
      </c>
      <c r="I64" s="79">
        <v>113501655</v>
      </c>
      <c r="J64" s="79">
        <v>0</v>
      </c>
      <c r="K64" s="79">
        <v>1</v>
      </c>
      <c r="L64" s="79">
        <v>6</v>
      </c>
      <c r="M64" s="79">
        <v>3</v>
      </c>
      <c r="N64" s="90">
        <v>9008</v>
      </c>
    </row>
    <row r="65" spans="1:14">
      <c r="A65" s="78">
        <v>1093760054</v>
      </c>
      <c r="B65" s="79">
        <v>46</v>
      </c>
      <c r="C65" s="79">
        <v>4</v>
      </c>
      <c r="D65" s="79">
        <v>20</v>
      </c>
      <c r="E65" s="79">
        <v>3</v>
      </c>
      <c r="F65" s="79">
        <v>7320000</v>
      </c>
      <c r="G65" s="79">
        <v>84200000</v>
      </c>
      <c r="H65" s="79">
        <v>0</v>
      </c>
      <c r="I65" s="79">
        <v>116588537</v>
      </c>
      <c r="J65" s="79">
        <v>0</v>
      </c>
      <c r="K65" s="79">
        <v>3</v>
      </c>
      <c r="L65" s="79">
        <v>39</v>
      </c>
      <c r="M65" s="79">
        <v>14</v>
      </c>
      <c r="N65" s="90">
        <v>9009</v>
      </c>
    </row>
    <row r="66" spans="1:14">
      <c r="A66" s="78">
        <v>1140861189</v>
      </c>
      <c r="B66" s="79">
        <v>44</v>
      </c>
      <c r="C66" s="79">
        <v>6</v>
      </c>
      <c r="D66" s="79">
        <v>8</v>
      </c>
      <c r="E66" s="79">
        <v>0</v>
      </c>
      <c r="F66" s="79">
        <v>4080000</v>
      </c>
      <c r="G66" s="79">
        <v>37000000</v>
      </c>
      <c r="H66" s="79">
        <v>21800000</v>
      </c>
      <c r="I66" s="79">
        <v>52497728</v>
      </c>
      <c r="J66" s="79">
        <v>0</v>
      </c>
      <c r="K66" s="79">
        <v>5</v>
      </c>
      <c r="L66" s="79">
        <v>9</v>
      </c>
      <c r="M66" s="79">
        <v>13</v>
      </c>
      <c r="N66" s="90">
        <v>9004</v>
      </c>
    </row>
    <row r="67" spans="1:14">
      <c r="A67" s="78">
        <v>80001235</v>
      </c>
      <c r="B67" s="79">
        <v>75</v>
      </c>
      <c r="C67" s="79">
        <v>8</v>
      </c>
      <c r="D67" s="79">
        <v>12</v>
      </c>
      <c r="E67" s="79">
        <v>3</v>
      </c>
      <c r="F67" s="79">
        <v>2645000</v>
      </c>
      <c r="G67" s="79">
        <v>56200000</v>
      </c>
      <c r="H67" s="79">
        <v>85000000</v>
      </c>
      <c r="I67" s="79">
        <v>26923831</v>
      </c>
      <c r="J67" s="79">
        <v>0</v>
      </c>
      <c r="K67" s="79">
        <v>3</v>
      </c>
      <c r="L67" s="79">
        <v>9</v>
      </c>
      <c r="M67" s="79">
        <v>5</v>
      </c>
      <c r="N67" s="90">
        <v>9001</v>
      </c>
    </row>
    <row r="68" spans="1:14">
      <c r="A68" s="78">
        <v>1105786644</v>
      </c>
      <c r="B68" s="79">
        <v>51</v>
      </c>
      <c r="C68" s="79">
        <v>3</v>
      </c>
      <c r="D68" s="79">
        <v>14</v>
      </c>
      <c r="E68" s="79">
        <v>3</v>
      </c>
      <c r="F68" s="79">
        <v>2337500</v>
      </c>
      <c r="G68" s="79">
        <v>168800000</v>
      </c>
      <c r="H68" s="79">
        <v>0</v>
      </c>
      <c r="I68" s="79">
        <v>78198126</v>
      </c>
      <c r="J68" s="79">
        <v>0</v>
      </c>
      <c r="K68" s="79">
        <v>0</v>
      </c>
      <c r="L68" s="79">
        <v>13</v>
      </c>
      <c r="M68" s="79">
        <v>12</v>
      </c>
      <c r="N68" s="90">
        <v>9004</v>
      </c>
    </row>
    <row r="69" spans="1:14">
      <c r="A69" s="78">
        <v>53070485</v>
      </c>
      <c r="B69" s="79">
        <v>35</v>
      </c>
      <c r="C69" s="79">
        <v>0</v>
      </c>
      <c r="D69" s="79">
        <v>19</v>
      </c>
      <c r="E69" s="79">
        <v>1</v>
      </c>
      <c r="F69" s="79">
        <v>14049780.166666666</v>
      </c>
      <c r="G69" s="79">
        <v>125444654.45</v>
      </c>
      <c r="H69" s="79">
        <v>35603399.969999999</v>
      </c>
      <c r="I69" s="79">
        <v>30660849</v>
      </c>
      <c r="J69" s="79">
        <v>0</v>
      </c>
      <c r="K69" s="79">
        <v>12</v>
      </c>
      <c r="L69" s="79">
        <v>20</v>
      </c>
      <c r="M69" s="79">
        <v>17</v>
      </c>
      <c r="N69" s="90">
        <v>9008</v>
      </c>
    </row>
    <row r="70" spans="1:14">
      <c r="A70" s="78">
        <v>1090469124</v>
      </c>
      <c r="B70" s="79">
        <v>70</v>
      </c>
      <c r="C70" s="79">
        <v>1</v>
      </c>
      <c r="D70" s="79">
        <v>12</v>
      </c>
      <c r="E70" s="79">
        <v>0</v>
      </c>
      <c r="F70" s="79">
        <v>1537500</v>
      </c>
      <c r="G70" s="79">
        <v>55495538</v>
      </c>
      <c r="H70" s="79">
        <v>11091477.550000001</v>
      </c>
      <c r="I70" s="79">
        <v>36672937</v>
      </c>
      <c r="J70" s="79">
        <v>0</v>
      </c>
      <c r="K70" s="79">
        <v>15</v>
      </c>
      <c r="L70" s="79">
        <v>21</v>
      </c>
      <c r="M70" s="79">
        <v>25</v>
      </c>
      <c r="N70" s="90">
        <v>9001</v>
      </c>
    </row>
    <row r="71" spans="1:14">
      <c r="A71" s="78">
        <v>1075677501</v>
      </c>
      <c r="B71" s="79">
        <v>108</v>
      </c>
      <c r="C71" s="79">
        <v>5</v>
      </c>
      <c r="D71" s="79">
        <v>9</v>
      </c>
      <c r="E71" s="79">
        <v>3</v>
      </c>
      <c r="F71" s="79">
        <v>2645000</v>
      </c>
      <c r="G71" s="79">
        <v>133662250</v>
      </c>
      <c r="H71" s="79">
        <v>18615612.460000001</v>
      </c>
      <c r="I71" s="79">
        <v>115679948</v>
      </c>
      <c r="J71" s="79">
        <v>0</v>
      </c>
      <c r="K71" s="79">
        <v>2</v>
      </c>
      <c r="L71" s="79">
        <v>1</v>
      </c>
      <c r="M71" s="79">
        <v>2</v>
      </c>
      <c r="N71" s="90">
        <v>9001</v>
      </c>
    </row>
    <row r="72" spans="1:14">
      <c r="A72" s="78">
        <v>51968566</v>
      </c>
      <c r="B72" s="79">
        <v>60</v>
      </c>
      <c r="C72" s="79">
        <v>9</v>
      </c>
      <c r="D72" s="79">
        <v>14</v>
      </c>
      <c r="E72" s="79">
        <v>12</v>
      </c>
      <c r="F72" s="79">
        <v>7682269.166666667</v>
      </c>
      <c r="G72" s="79">
        <v>100100000</v>
      </c>
      <c r="H72" s="79">
        <v>90000000</v>
      </c>
      <c r="I72" s="79">
        <v>158088000</v>
      </c>
      <c r="J72" s="79">
        <v>0</v>
      </c>
      <c r="K72" s="79">
        <v>4</v>
      </c>
      <c r="L72" s="79">
        <v>5</v>
      </c>
      <c r="M72" s="79">
        <v>3</v>
      </c>
      <c r="N72" s="90">
        <v>9006</v>
      </c>
    </row>
    <row r="73" spans="1:14">
      <c r="A73" s="78">
        <v>1144139793</v>
      </c>
      <c r="B73" s="79">
        <v>48</v>
      </c>
      <c r="C73" s="79">
        <v>0</v>
      </c>
      <c r="D73" s="79">
        <v>13</v>
      </c>
      <c r="E73" s="79">
        <v>0</v>
      </c>
      <c r="F73" s="79">
        <v>3075000</v>
      </c>
      <c r="G73" s="79">
        <v>26700000</v>
      </c>
      <c r="H73" s="79">
        <v>0</v>
      </c>
      <c r="I73" s="79">
        <v>37095376</v>
      </c>
      <c r="J73" s="79">
        <v>0</v>
      </c>
      <c r="K73" s="79">
        <v>3</v>
      </c>
      <c r="L73" s="79">
        <v>4</v>
      </c>
      <c r="M73" s="79">
        <v>7</v>
      </c>
      <c r="N73" s="90">
        <v>9001</v>
      </c>
    </row>
    <row r="74" spans="1:14">
      <c r="A74" s="78">
        <v>52371021</v>
      </c>
      <c r="B74" s="79">
        <v>41</v>
      </c>
      <c r="C74" s="79">
        <v>4</v>
      </c>
      <c r="D74" s="79">
        <v>11</v>
      </c>
      <c r="E74" s="79">
        <v>3</v>
      </c>
      <c r="F74" s="79">
        <v>4120000</v>
      </c>
      <c r="G74" s="79">
        <v>15588102.07</v>
      </c>
      <c r="H74" s="79">
        <v>32000000</v>
      </c>
      <c r="I74" s="79">
        <v>73942500</v>
      </c>
      <c r="J74" s="79">
        <v>0</v>
      </c>
      <c r="K74" s="79">
        <v>1</v>
      </c>
      <c r="L74" s="79">
        <v>0</v>
      </c>
      <c r="M74" s="79">
        <v>0</v>
      </c>
      <c r="N74" s="90">
        <v>9005</v>
      </c>
    </row>
    <row r="75" spans="1:14">
      <c r="A75" s="78">
        <v>65785486</v>
      </c>
      <c r="B75" s="79">
        <v>89</v>
      </c>
      <c r="C75" s="79">
        <v>6</v>
      </c>
      <c r="D75" s="79">
        <v>12</v>
      </c>
      <c r="E75" s="79">
        <v>0</v>
      </c>
      <c r="F75" s="79">
        <v>5045000</v>
      </c>
      <c r="G75" s="79">
        <v>63500000</v>
      </c>
      <c r="H75" s="79">
        <v>105700000</v>
      </c>
      <c r="I75" s="79">
        <v>47663000</v>
      </c>
      <c r="J75" s="79">
        <v>0</v>
      </c>
      <c r="K75" s="79">
        <v>4</v>
      </c>
      <c r="L75" s="79">
        <v>9</v>
      </c>
      <c r="M75" s="79">
        <v>7</v>
      </c>
      <c r="N75" s="90">
        <v>9002</v>
      </c>
    </row>
    <row r="76" spans="1:14">
      <c r="A76" s="78">
        <v>1128430053</v>
      </c>
      <c r="B76" s="79">
        <v>14</v>
      </c>
      <c r="C76" s="79">
        <v>1</v>
      </c>
      <c r="D76" s="79">
        <v>0</v>
      </c>
      <c r="E76" s="79">
        <v>0</v>
      </c>
      <c r="F76" s="79">
        <v>0</v>
      </c>
      <c r="G76" s="79">
        <v>0</v>
      </c>
      <c r="H76" s="79">
        <v>0</v>
      </c>
      <c r="I76" s="79">
        <v>11515350</v>
      </c>
      <c r="J76" s="79">
        <v>0</v>
      </c>
      <c r="K76" s="79">
        <v>2</v>
      </c>
      <c r="L76" s="79">
        <v>2</v>
      </c>
      <c r="M76" s="79">
        <v>5</v>
      </c>
      <c r="N76" s="90">
        <v>9008</v>
      </c>
    </row>
    <row r="77" spans="1:14">
      <c r="A77" s="78">
        <v>37900818</v>
      </c>
      <c r="B77" s="79">
        <v>62</v>
      </c>
      <c r="C77" s="79">
        <v>4</v>
      </c>
      <c r="D77" s="79">
        <v>7</v>
      </c>
      <c r="E77" s="79">
        <v>0</v>
      </c>
      <c r="F77" s="79">
        <v>2030000</v>
      </c>
      <c r="G77" s="79">
        <v>10000000</v>
      </c>
      <c r="H77" s="79">
        <v>0</v>
      </c>
      <c r="I77" s="79">
        <v>41673077</v>
      </c>
      <c r="J77" s="79">
        <v>0</v>
      </c>
      <c r="K77" s="79">
        <v>4</v>
      </c>
      <c r="L77" s="79">
        <v>2</v>
      </c>
      <c r="M77" s="79">
        <v>5</v>
      </c>
      <c r="N77" s="90">
        <v>9002</v>
      </c>
    </row>
    <row r="78" spans="1:14">
      <c r="A78" s="78">
        <v>1014269744</v>
      </c>
      <c r="B78" s="79">
        <v>42</v>
      </c>
      <c r="C78" s="79">
        <v>0</v>
      </c>
      <c r="D78" s="79">
        <v>5</v>
      </c>
      <c r="E78" s="79">
        <v>3</v>
      </c>
      <c r="F78" s="79">
        <v>1660000</v>
      </c>
      <c r="G78" s="79">
        <v>31000000</v>
      </c>
      <c r="H78" s="79">
        <v>0</v>
      </c>
      <c r="I78" s="79">
        <v>19252000</v>
      </c>
      <c r="J78" s="79">
        <v>0</v>
      </c>
      <c r="K78" s="79">
        <v>0</v>
      </c>
      <c r="L78" s="79">
        <v>1</v>
      </c>
      <c r="M78" s="79">
        <v>2</v>
      </c>
      <c r="N78" s="90">
        <v>9007</v>
      </c>
    </row>
    <row r="79" spans="1:14">
      <c r="A79" s="78">
        <v>1067877021</v>
      </c>
      <c r="B79" s="79">
        <v>65</v>
      </c>
      <c r="C79" s="79">
        <v>0</v>
      </c>
      <c r="D79" s="79">
        <v>1</v>
      </c>
      <c r="E79" s="79">
        <v>2</v>
      </c>
      <c r="F79" s="79">
        <v>1045000</v>
      </c>
      <c r="G79" s="79">
        <v>16000000</v>
      </c>
      <c r="H79" s="79">
        <v>0</v>
      </c>
      <c r="I79" s="79">
        <v>31179826</v>
      </c>
      <c r="J79" s="79">
        <v>0</v>
      </c>
      <c r="K79" s="79">
        <v>2</v>
      </c>
      <c r="L79" s="79">
        <v>2</v>
      </c>
      <c r="M79" s="79">
        <v>6</v>
      </c>
      <c r="N79" s="90">
        <v>9003</v>
      </c>
    </row>
    <row r="80" spans="1:14">
      <c r="A80" s="78">
        <v>1031123630</v>
      </c>
      <c r="B80" s="79">
        <v>43</v>
      </c>
      <c r="C80" s="79">
        <v>1</v>
      </c>
      <c r="D80" s="79">
        <v>6</v>
      </c>
      <c r="E80" s="79">
        <v>3</v>
      </c>
      <c r="F80" s="79">
        <v>4550000</v>
      </c>
      <c r="G80" s="79">
        <v>81000000</v>
      </c>
      <c r="H80" s="79">
        <v>30200000</v>
      </c>
      <c r="I80" s="79">
        <v>22396000</v>
      </c>
      <c r="J80" s="79">
        <v>0</v>
      </c>
      <c r="K80" s="79">
        <v>1</v>
      </c>
      <c r="L80" s="79">
        <v>3</v>
      </c>
      <c r="M80" s="79">
        <v>2</v>
      </c>
      <c r="N80" s="90">
        <v>9001</v>
      </c>
    </row>
    <row r="81" spans="1:14">
      <c r="A81" s="78">
        <v>1032445748</v>
      </c>
      <c r="B81" s="79">
        <v>67</v>
      </c>
      <c r="C81" s="79">
        <v>3</v>
      </c>
      <c r="D81" s="79">
        <v>8</v>
      </c>
      <c r="E81" s="79">
        <v>1</v>
      </c>
      <c r="F81" s="79">
        <v>1230000</v>
      </c>
      <c r="G81" s="79">
        <v>21230000</v>
      </c>
      <c r="H81" s="79">
        <v>0</v>
      </c>
      <c r="I81" s="79">
        <v>14400000</v>
      </c>
      <c r="J81" s="79">
        <v>0</v>
      </c>
      <c r="K81" s="79">
        <v>6</v>
      </c>
      <c r="L81" s="79">
        <v>4</v>
      </c>
      <c r="M81" s="79">
        <v>0</v>
      </c>
      <c r="N81" s="90">
        <v>9007</v>
      </c>
    </row>
    <row r="82" spans="1:14">
      <c r="A82" s="78">
        <v>1017155100</v>
      </c>
      <c r="B82" s="79">
        <v>62</v>
      </c>
      <c r="C82" s="79">
        <v>3</v>
      </c>
      <c r="D82" s="79">
        <v>7</v>
      </c>
      <c r="E82" s="79">
        <v>2</v>
      </c>
      <c r="F82" s="79">
        <v>5023816.75</v>
      </c>
      <c r="G82" s="79">
        <v>21000000</v>
      </c>
      <c r="H82" s="79">
        <v>0</v>
      </c>
      <c r="I82" s="79">
        <v>45722716</v>
      </c>
      <c r="J82" s="79">
        <v>0</v>
      </c>
      <c r="K82" s="79">
        <v>8</v>
      </c>
      <c r="L82" s="79">
        <v>11</v>
      </c>
      <c r="M82" s="79">
        <v>12</v>
      </c>
      <c r="N82" s="90">
        <v>9007</v>
      </c>
    </row>
    <row r="83" spans="1:14">
      <c r="A83" s="78">
        <v>1036628798</v>
      </c>
      <c r="B83" s="79">
        <v>49</v>
      </c>
      <c r="C83" s="79">
        <v>0</v>
      </c>
      <c r="D83" s="79">
        <v>13</v>
      </c>
      <c r="E83" s="79">
        <v>8</v>
      </c>
      <c r="F83" s="79">
        <v>11070000</v>
      </c>
      <c r="G83" s="79">
        <v>123600000</v>
      </c>
      <c r="H83" s="79">
        <v>59000000</v>
      </c>
      <c r="I83" s="79">
        <v>139782000</v>
      </c>
      <c r="J83" s="79">
        <v>0</v>
      </c>
      <c r="K83" s="79">
        <v>11</v>
      </c>
      <c r="L83" s="79">
        <v>10</v>
      </c>
      <c r="M83" s="79">
        <v>12</v>
      </c>
      <c r="N83" s="90">
        <v>9001</v>
      </c>
    </row>
    <row r="84" spans="1:14">
      <c r="A84" s="78">
        <v>1015413125</v>
      </c>
      <c r="B84" s="79">
        <v>66</v>
      </c>
      <c r="C84" s="79">
        <v>0</v>
      </c>
      <c r="D84" s="79">
        <v>6</v>
      </c>
      <c r="E84" s="79">
        <v>3</v>
      </c>
      <c r="F84" s="79">
        <v>7995000</v>
      </c>
      <c r="G84" s="79">
        <v>160952213.5</v>
      </c>
      <c r="H84" s="79">
        <v>13000000</v>
      </c>
      <c r="I84" s="79">
        <v>69704250</v>
      </c>
      <c r="J84" s="79">
        <v>0</v>
      </c>
      <c r="K84" s="79">
        <v>6</v>
      </c>
      <c r="L84" s="79">
        <v>4</v>
      </c>
      <c r="M84" s="79">
        <v>4</v>
      </c>
      <c r="N84" s="90">
        <v>9001</v>
      </c>
    </row>
    <row r="85" spans="1:14">
      <c r="A85" s="78">
        <v>1070010862</v>
      </c>
      <c r="B85" s="79">
        <v>58</v>
      </c>
      <c r="C85" s="79">
        <v>3</v>
      </c>
      <c r="D85" s="79">
        <v>9</v>
      </c>
      <c r="E85" s="79">
        <v>5</v>
      </c>
      <c r="F85" s="79">
        <v>4735000</v>
      </c>
      <c r="G85" s="79">
        <v>51000000</v>
      </c>
      <c r="H85" s="79">
        <v>120000000</v>
      </c>
      <c r="I85" s="79">
        <v>66070600</v>
      </c>
      <c r="J85" s="79">
        <v>0</v>
      </c>
      <c r="K85" s="79">
        <v>1</v>
      </c>
      <c r="L85" s="79">
        <v>0</v>
      </c>
      <c r="M85" s="79">
        <v>0</v>
      </c>
      <c r="N85" s="90">
        <v>9007</v>
      </c>
    </row>
    <row r="86" spans="1:14">
      <c r="A86" s="78">
        <v>1020452848</v>
      </c>
      <c r="B86" s="79">
        <v>31</v>
      </c>
      <c r="C86" s="79">
        <v>3</v>
      </c>
      <c r="D86" s="79">
        <v>10</v>
      </c>
      <c r="E86" s="79">
        <v>3</v>
      </c>
      <c r="F86" s="79">
        <v>8688477</v>
      </c>
      <c r="G86" s="79">
        <v>200000000</v>
      </c>
      <c r="H86" s="79">
        <v>0</v>
      </c>
      <c r="I86" s="79">
        <v>94461470</v>
      </c>
      <c r="J86" s="79">
        <v>0</v>
      </c>
      <c r="K86" s="79">
        <v>11</v>
      </c>
      <c r="L86" s="79">
        <v>11</v>
      </c>
      <c r="M86" s="79">
        <v>14</v>
      </c>
      <c r="N86" s="90">
        <v>9007</v>
      </c>
    </row>
    <row r="87" spans="1:14">
      <c r="A87" s="78">
        <v>1036641572</v>
      </c>
      <c r="B87" s="79">
        <v>35</v>
      </c>
      <c r="C87" s="79">
        <v>1</v>
      </c>
      <c r="D87" s="79">
        <v>1</v>
      </c>
      <c r="E87" s="79">
        <v>1</v>
      </c>
      <c r="F87" s="79">
        <v>3690000</v>
      </c>
      <c r="G87" s="79">
        <v>40000000</v>
      </c>
      <c r="H87" s="79">
        <v>24000000</v>
      </c>
      <c r="I87" s="79">
        <v>47380535</v>
      </c>
      <c r="J87" s="79">
        <v>0</v>
      </c>
      <c r="K87" s="79">
        <v>3</v>
      </c>
      <c r="L87" s="79">
        <v>9</v>
      </c>
      <c r="M87" s="79">
        <v>11</v>
      </c>
      <c r="N87" s="90">
        <v>9003</v>
      </c>
    </row>
    <row r="88" spans="1:14">
      <c r="A88" s="78">
        <v>51918311</v>
      </c>
      <c r="B88" s="79">
        <v>53</v>
      </c>
      <c r="C88" s="79">
        <v>2</v>
      </c>
      <c r="D88" s="79">
        <v>17</v>
      </c>
      <c r="E88" s="79">
        <v>2</v>
      </c>
      <c r="F88" s="79">
        <v>7380000</v>
      </c>
      <c r="G88" s="79">
        <v>27800000</v>
      </c>
      <c r="H88" s="79">
        <v>59100000</v>
      </c>
      <c r="I88" s="79">
        <v>111889630</v>
      </c>
      <c r="J88" s="79">
        <v>0</v>
      </c>
      <c r="K88" s="79">
        <v>1</v>
      </c>
      <c r="L88" s="79">
        <v>10</v>
      </c>
      <c r="M88" s="79">
        <v>1</v>
      </c>
      <c r="N88" s="90">
        <v>9006</v>
      </c>
    </row>
    <row r="89" spans="1:14">
      <c r="A89" s="78">
        <v>87061139</v>
      </c>
      <c r="B89" s="79">
        <v>34</v>
      </c>
      <c r="C89" s="79">
        <v>1</v>
      </c>
      <c r="D89" s="79">
        <v>12</v>
      </c>
      <c r="E89" s="79">
        <v>0</v>
      </c>
      <c r="F89" s="79">
        <v>1540000</v>
      </c>
      <c r="G89" s="79">
        <v>0</v>
      </c>
      <c r="H89" s="79">
        <v>0</v>
      </c>
      <c r="I89" s="79">
        <v>46166000</v>
      </c>
      <c r="J89" s="79">
        <v>0</v>
      </c>
      <c r="K89" s="79">
        <v>1</v>
      </c>
      <c r="L89" s="79">
        <v>3</v>
      </c>
      <c r="M89" s="79">
        <v>13</v>
      </c>
      <c r="N89" s="90">
        <v>9005</v>
      </c>
    </row>
    <row r="90" spans="1:14">
      <c r="A90" s="78">
        <v>1110456272</v>
      </c>
      <c r="B90" s="79">
        <v>85</v>
      </c>
      <c r="C90" s="79">
        <v>3</v>
      </c>
      <c r="D90" s="79">
        <v>10</v>
      </c>
      <c r="E90" s="79">
        <v>10</v>
      </c>
      <c r="F90" s="79">
        <v>3461346.75</v>
      </c>
      <c r="G90" s="79">
        <v>67150000</v>
      </c>
      <c r="H90" s="79">
        <v>32299999.999999996</v>
      </c>
      <c r="I90" s="79">
        <v>21749000</v>
      </c>
      <c r="J90" s="79">
        <v>0</v>
      </c>
      <c r="K90" s="79">
        <v>3</v>
      </c>
      <c r="L90" s="79">
        <v>14</v>
      </c>
      <c r="M90" s="79">
        <v>6</v>
      </c>
      <c r="N90" s="90">
        <v>9003</v>
      </c>
    </row>
    <row r="91" spans="1:14">
      <c r="A91" s="78">
        <v>52794583</v>
      </c>
      <c r="B91" s="79">
        <v>49</v>
      </c>
      <c r="C91" s="79">
        <v>8</v>
      </c>
      <c r="D91" s="79">
        <v>12</v>
      </c>
      <c r="E91" s="79">
        <v>0</v>
      </c>
      <c r="F91" s="79">
        <v>5350000</v>
      </c>
      <c r="G91" s="79">
        <v>50000000</v>
      </c>
      <c r="H91" s="79">
        <v>0</v>
      </c>
      <c r="I91" s="79">
        <v>77588404</v>
      </c>
      <c r="J91" s="79">
        <v>0</v>
      </c>
      <c r="K91" s="79">
        <v>3</v>
      </c>
      <c r="L91" s="79">
        <v>12</v>
      </c>
      <c r="M91" s="79">
        <v>9</v>
      </c>
      <c r="N91" s="90">
        <v>9002</v>
      </c>
    </row>
    <row r="92" spans="1:14">
      <c r="A92" s="78">
        <v>1032382633</v>
      </c>
      <c r="B92" s="79">
        <v>84</v>
      </c>
      <c r="C92" s="79">
        <v>8</v>
      </c>
      <c r="D92" s="79">
        <v>11</v>
      </c>
      <c r="E92" s="79">
        <v>4</v>
      </c>
      <c r="F92" s="79">
        <v>8610000</v>
      </c>
      <c r="G92" s="79">
        <v>79430000</v>
      </c>
      <c r="H92" s="79">
        <v>17903553.119999997</v>
      </c>
      <c r="I92" s="79">
        <v>49676000</v>
      </c>
      <c r="J92" s="79">
        <v>0</v>
      </c>
      <c r="K92" s="79">
        <v>0</v>
      </c>
      <c r="L92" s="79">
        <v>5</v>
      </c>
      <c r="M92" s="79">
        <v>2</v>
      </c>
      <c r="N92" s="90">
        <v>9005</v>
      </c>
    </row>
    <row r="93" spans="1:14">
      <c r="A93" s="78">
        <v>1110534685</v>
      </c>
      <c r="B93" s="79">
        <v>52</v>
      </c>
      <c r="C93" s="79">
        <v>4</v>
      </c>
      <c r="D93" s="79">
        <v>6</v>
      </c>
      <c r="E93" s="79">
        <v>8</v>
      </c>
      <c r="F93" s="79">
        <v>4837500</v>
      </c>
      <c r="G93" s="79">
        <v>89200000</v>
      </c>
      <c r="H93" s="79">
        <v>5484564.1000000015</v>
      </c>
      <c r="I93" s="79">
        <v>13481000</v>
      </c>
      <c r="J93" s="79">
        <v>0</v>
      </c>
      <c r="K93" s="79">
        <v>3</v>
      </c>
      <c r="L93" s="79">
        <v>5</v>
      </c>
      <c r="M93" s="79">
        <v>7</v>
      </c>
      <c r="N93" s="90">
        <v>9003</v>
      </c>
    </row>
    <row r="94" spans="1:14">
      <c r="A94" s="78">
        <v>52985881</v>
      </c>
      <c r="B94" s="79">
        <v>84</v>
      </c>
      <c r="C94" s="79">
        <v>1</v>
      </c>
      <c r="D94" s="79">
        <v>11</v>
      </c>
      <c r="E94" s="79">
        <v>2</v>
      </c>
      <c r="F94" s="79">
        <v>1702500</v>
      </c>
      <c r="G94" s="79">
        <v>26500000</v>
      </c>
      <c r="H94" s="79">
        <v>0</v>
      </c>
      <c r="I94" s="79">
        <v>22621625</v>
      </c>
      <c r="J94" s="79">
        <v>0</v>
      </c>
      <c r="K94" s="79">
        <v>0</v>
      </c>
      <c r="L94" s="79">
        <v>7</v>
      </c>
      <c r="M94" s="79">
        <v>4</v>
      </c>
      <c r="N94" s="90">
        <v>9007</v>
      </c>
    </row>
    <row r="95" spans="1:14">
      <c r="A95" s="78">
        <v>43982807</v>
      </c>
      <c r="B95" s="79">
        <v>48</v>
      </c>
      <c r="C95" s="79">
        <v>2</v>
      </c>
      <c r="D95" s="79">
        <v>3</v>
      </c>
      <c r="E95" s="79">
        <v>11</v>
      </c>
      <c r="F95" s="79">
        <v>10760015.833333334</v>
      </c>
      <c r="G95" s="79">
        <v>91000000</v>
      </c>
      <c r="H95" s="79">
        <v>0</v>
      </c>
      <c r="I95" s="79">
        <v>106480790</v>
      </c>
      <c r="J95" s="79">
        <v>0</v>
      </c>
      <c r="K95" s="79">
        <v>5</v>
      </c>
      <c r="L95" s="79">
        <v>7</v>
      </c>
      <c r="M95" s="79">
        <v>9</v>
      </c>
      <c r="N95" s="90">
        <v>9003</v>
      </c>
    </row>
    <row r="96" spans="1:14">
      <c r="A96" s="78">
        <v>1032441726</v>
      </c>
      <c r="B96" s="79">
        <v>103</v>
      </c>
      <c r="C96" s="79">
        <v>7</v>
      </c>
      <c r="D96" s="79">
        <v>13</v>
      </c>
      <c r="E96" s="79">
        <v>2</v>
      </c>
      <c r="F96" s="79">
        <v>3200000</v>
      </c>
      <c r="G96" s="79">
        <v>51600000</v>
      </c>
      <c r="H96" s="79">
        <v>60000000</v>
      </c>
      <c r="I96" s="79">
        <v>16656763</v>
      </c>
      <c r="J96" s="79">
        <v>0</v>
      </c>
      <c r="K96" s="79">
        <v>4</v>
      </c>
      <c r="L96" s="79">
        <v>9</v>
      </c>
      <c r="M96" s="79">
        <v>11</v>
      </c>
      <c r="N96" s="90">
        <v>9002</v>
      </c>
    </row>
    <row r="97" spans="1:14">
      <c r="A97" s="78">
        <v>36379017</v>
      </c>
      <c r="B97" s="79">
        <v>54</v>
      </c>
      <c r="C97" s="79">
        <v>1</v>
      </c>
      <c r="D97" s="79">
        <v>7</v>
      </c>
      <c r="E97" s="79">
        <v>2</v>
      </c>
      <c r="F97" s="79">
        <v>1660000</v>
      </c>
      <c r="G97" s="79">
        <v>76200000</v>
      </c>
      <c r="H97" s="79">
        <v>15000000</v>
      </c>
      <c r="I97" s="79">
        <v>53844000</v>
      </c>
      <c r="J97" s="79">
        <v>0</v>
      </c>
      <c r="K97" s="79">
        <v>6</v>
      </c>
      <c r="L97" s="79">
        <v>7</v>
      </c>
      <c r="M97" s="79">
        <v>4</v>
      </c>
      <c r="N97" s="90">
        <v>9003</v>
      </c>
    </row>
    <row r="98" spans="1:14">
      <c r="A98" s="78">
        <v>1032476920</v>
      </c>
      <c r="B98" s="79">
        <v>156</v>
      </c>
      <c r="C98" s="79">
        <v>2</v>
      </c>
      <c r="D98" s="79">
        <v>8</v>
      </c>
      <c r="E98" s="79">
        <v>0</v>
      </c>
      <c r="F98" s="79">
        <v>5105000</v>
      </c>
      <c r="G98" s="79">
        <v>31700000</v>
      </c>
      <c r="H98" s="79">
        <v>21000000</v>
      </c>
      <c r="I98" s="79">
        <v>78594722</v>
      </c>
      <c r="J98" s="79">
        <v>0</v>
      </c>
      <c r="K98" s="79">
        <v>0</v>
      </c>
      <c r="L98" s="79">
        <v>2</v>
      </c>
      <c r="M98" s="79">
        <v>4</v>
      </c>
      <c r="N98" s="90">
        <v>9001</v>
      </c>
    </row>
    <row r="99" spans="1:14">
      <c r="A99" s="78">
        <v>80912936</v>
      </c>
      <c r="B99" s="79">
        <v>100</v>
      </c>
      <c r="C99" s="79">
        <v>8</v>
      </c>
      <c r="D99" s="79">
        <v>7</v>
      </c>
      <c r="E99" s="79">
        <v>3</v>
      </c>
      <c r="F99" s="79">
        <v>6591666.666666667</v>
      </c>
      <c r="G99" s="79">
        <v>44100000</v>
      </c>
      <c r="H99" s="79">
        <v>76293182.719999999</v>
      </c>
      <c r="I99" s="79">
        <v>140300000</v>
      </c>
      <c r="J99" s="79">
        <v>0</v>
      </c>
      <c r="K99" s="79">
        <v>1</v>
      </c>
      <c r="L99" s="79">
        <v>2</v>
      </c>
      <c r="M99" s="79">
        <v>2</v>
      </c>
      <c r="N99" s="90">
        <v>9004</v>
      </c>
    </row>
    <row r="100" spans="1:14">
      <c r="A100" s="78">
        <v>1022968395</v>
      </c>
      <c r="B100" s="79">
        <v>77</v>
      </c>
      <c r="C100" s="79">
        <v>1</v>
      </c>
      <c r="D100" s="79">
        <v>2</v>
      </c>
      <c r="E100" s="79">
        <v>1</v>
      </c>
      <c r="F100" s="79">
        <v>10025000</v>
      </c>
      <c r="G100" s="79">
        <v>60696800</v>
      </c>
      <c r="H100" s="79">
        <v>44000000</v>
      </c>
      <c r="I100" s="79">
        <v>13290000</v>
      </c>
      <c r="J100" s="79">
        <v>0</v>
      </c>
      <c r="K100" s="79">
        <v>3</v>
      </c>
      <c r="L100" s="79">
        <v>5</v>
      </c>
      <c r="M100" s="79">
        <v>3</v>
      </c>
      <c r="N100" s="90">
        <v>9006</v>
      </c>
    </row>
    <row r="101" spans="1:14">
      <c r="A101" s="78">
        <v>59831498</v>
      </c>
      <c r="B101" s="79">
        <v>84</v>
      </c>
      <c r="C101" s="79">
        <v>9</v>
      </c>
      <c r="D101" s="79">
        <v>5</v>
      </c>
      <c r="E101" s="79">
        <v>5</v>
      </c>
      <c r="F101" s="79">
        <v>11810000</v>
      </c>
      <c r="G101" s="79">
        <v>169806317.50999999</v>
      </c>
      <c r="H101" s="79">
        <v>0</v>
      </c>
      <c r="I101" s="79">
        <v>67604000</v>
      </c>
      <c r="J101" s="79">
        <v>0</v>
      </c>
      <c r="K101" s="79">
        <v>6</v>
      </c>
      <c r="L101" s="79">
        <v>17</v>
      </c>
      <c r="M101" s="79">
        <v>10</v>
      </c>
      <c r="N101" s="90">
        <v>9006</v>
      </c>
    </row>
    <row r="102" spans="1:14">
      <c r="A102" s="78">
        <v>59829540</v>
      </c>
      <c r="B102" s="79">
        <v>57</v>
      </c>
      <c r="C102" s="79">
        <v>7</v>
      </c>
      <c r="D102" s="79">
        <v>14</v>
      </c>
      <c r="E102" s="79">
        <v>4</v>
      </c>
      <c r="F102" s="79">
        <v>7992056.75</v>
      </c>
      <c r="G102" s="79">
        <v>76408401.689999998</v>
      </c>
      <c r="H102" s="79">
        <v>13000000</v>
      </c>
      <c r="I102" s="79">
        <v>124803837</v>
      </c>
      <c r="J102" s="79">
        <v>0</v>
      </c>
      <c r="K102" s="79">
        <v>4</v>
      </c>
      <c r="L102" s="79">
        <v>9</v>
      </c>
      <c r="M102" s="79">
        <v>10</v>
      </c>
      <c r="N102" s="90">
        <v>9002</v>
      </c>
    </row>
    <row r="103" spans="1:14">
      <c r="A103" s="78">
        <v>1014212838</v>
      </c>
      <c r="B103" s="79">
        <v>72</v>
      </c>
      <c r="C103" s="79">
        <v>2</v>
      </c>
      <c r="D103" s="79">
        <v>20</v>
      </c>
      <c r="E103" s="79">
        <v>2</v>
      </c>
      <c r="F103" s="79">
        <v>10455000</v>
      </c>
      <c r="G103" s="79">
        <v>100000000</v>
      </c>
      <c r="H103" s="79">
        <v>0</v>
      </c>
      <c r="I103" s="79">
        <v>140440191</v>
      </c>
      <c r="J103" s="79">
        <v>0</v>
      </c>
      <c r="K103" s="79">
        <v>1</v>
      </c>
      <c r="L103" s="79">
        <v>8</v>
      </c>
      <c r="M103" s="79">
        <v>6</v>
      </c>
      <c r="N103" s="90">
        <v>9005</v>
      </c>
    </row>
    <row r="104" spans="1:14">
      <c r="A104" s="78">
        <v>1060651544</v>
      </c>
      <c r="B104" s="79">
        <v>55</v>
      </c>
      <c r="C104" s="79">
        <v>3</v>
      </c>
      <c r="D104" s="79">
        <v>7</v>
      </c>
      <c r="E104" s="79">
        <v>7</v>
      </c>
      <c r="F104" s="79">
        <v>8425000</v>
      </c>
      <c r="G104" s="79">
        <v>95500000</v>
      </c>
      <c r="H104" s="79">
        <v>0</v>
      </c>
      <c r="I104" s="79">
        <v>46080574</v>
      </c>
      <c r="J104" s="79">
        <v>0</v>
      </c>
      <c r="K104" s="79">
        <v>8</v>
      </c>
      <c r="L104" s="79">
        <v>8</v>
      </c>
      <c r="M104" s="79">
        <v>10</v>
      </c>
      <c r="N104" s="90">
        <v>9006</v>
      </c>
    </row>
    <row r="105" spans="1:14">
      <c r="A105" s="78">
        <v>16937738</v>
      </c>
      <c r="B105" s="79">
        <v>59</v>
      </c>
      <c r="C105" s="79">
        <v>8</v>
      </c>
      <c r="D105" s="79">
        <v>13</v>
      </c>
      <c r="E105" s="79">
        <v>1</v>
      </c>
      <c r="F105" s="79">
        <v>8457000</v>
      </c>
      <c r="G105" s="79">
        <v>99000000</v>
      </c>
      <c r="H105" s="79">
        <v>20000000</v>
      </c>
      <c r="I105" s="79">
        <v>98355341</v>
      </c>
      <c r="J105" s="79">
        <v>0</v>
      </c>
      <c r="K105" s="79">
        <v>7</v>
      </c>
      <c r="L105" s="79">
        <v>7</v>
      </c>
      <c r="M105" s="79">
        <v>19</v>
      </c>
      <c r="N105" s="90">
        <v>9001</v>
      </c>
    </row>
    <row r="106" spans="1:14">
      <c r="A106" s="78">
        <v>1019119838</v>
      </c>
      <c r="B106" s="79">
        <v>144</v>
      </c>
      <c r="C106" s="79">
        <v>9</v>
      </c>
      <c r="D106" s="79">
        <v>4</v>
      </c>
      <c r="E106" s="79">
        <v>4</v>
      </c>
      <c r="F106" s="79">
        <v>2747500</v>
      </c>
      <c r="G106" s="79">
        <v>47200000</v>
      </c>
      <c r="H106" s="79">
        <v>0</v>
      </c>
      <c r="I106" s="79">
        <v>55814280</v>
      </c>
      <c r="J106" s="79">
        <v>0</v>
      </c>
      <c r="K106" s="79">
        <v>3</v>
      </c>
      <c r="L106" s="79">
        <v>7</v>
      </c>
      <c r="M106" s="79">
        <v>3</v>
      </c>
      <c r="N106" s="90">
        <v>9003</v>
      </c>
    </row>
    <row r="107" spans="1:14">
      <c r="A107" s="78">
        <v>1013584201</v>
      </c>
      <c r="B107" s="79">
        <v>27</v>
      </c>
      <c r="C107" s="79">
        <v>3</v>
      </c>
      <c r="D107" s="79">
        <v>12</v>
      </c>
      <c r="E107" s="79">
        <v>4</v>
      </c>
      <c r="F107" s="79">
        <v>5105000</v>
      </c>
      <c r="G107" s="79">
        <v>81000000</v>
      </c>
      <c r="H107" s="79">
        <v>9087330.6500000004</v>
      </c>
      <c r="I107" s="79">
        <v>93989986</v>
      </c>
      <c r="J107" s="79">
        <v>0</v>
      </c>
      <c r="K107" s="79">
        <v>3</v>
      </c>
      <c r="L107" s="79">
        <v>8</v>
      </c>
      <c r="M107" s="79">
        <v>6</v>
      </c>
      <c r="N107" s="90">
        <v>9005</v>
      </c>
    </row>
    <row r="108" spans="1:14">
      <c r="A108" s="78">
        <v>36312342</v>
      </c>
      <c r="B108" s="79">
        <v>78</v>
      </c>
      <c r="C108" s="79">
        <v>5</v>
      </c>
      <c r="D108" s="79">
        <v>13</v>
      </c>
      <c r="E108" s="79">
        <v>1</v>
      </c>
      <c r="F108" s="79">
        <v>6825000</v>
      </c>
      <c r="G108" s="79">
        <v>96651838.870000005</v>
      </c>
      <c r="H108" s="79">
        <v>0</v>
      </c>
      <c r="I108" s="79">
        <v>124198600</v>
      </c>
      <c r="J108" s="79">
        <v>0</v>
      </c>
      <c r="K108" s="79">
        <v>3</v>
      </c>
      <c r="L108" s="79">
        <v>3</v>
      </c>
      <c r="M108" s="79">
        <v>5</v>
      </c>
      <c r="N108" s="90">
        <v>9004</v>
      </c>
    </row>
    <row r="109" spans="1:14">
      <c r="A109" s="78">
        <v>1015445334</v>
      </c>
      <c r="B109" s="79">
        <v>67</v>
      </c>
      <c r="C109" s="79">
        <v>3</v>
      </c>
      <c r="D109" s="79">
        <v>1</v>
      </c>
      <c r="E109" s="79">
        <v>2</v>
      </c>
      <c r="F109" s="79">
        <v>1230000</v>
      </c>
      <c r="G109" s="79">
        <v>27000000</v>
      </c>
      <c r="H109" s="79">
        <v>0</v>
      </c>
      <c r="I109" s="79">
        <v>43360706</v>
      </c>
      <c r="J109" s="79">
        <v>0</v>
      </c>
      <c r="K109" s="79">
        <v>0</v>
      </c>
      <c r="L109" s="79">
        <v>5</v>
      </c>
      <c r="M109" s="79">
        <v>1</v>
      </c>
      <c r="N109" s="90">
        <v>9004</v>
      </c>
    </row>
    <row r="110" spans="1:14">
      <c r="A110" s="78">
        <v>52316019</v>
      </c>
      <c r="B110" s="79">
        <v>74</v>
      </c>
      <c r="C110" s="79">
        <v>5</v>
      </c>
      <c r="D110" s="79">
        <v>6</v>
      </c>
      <c r="E110" s="79">
        <v>2</v>
      </c>
      <c r="F110" s="79">
        <v>448024.16666666674</v>
      </c>
      <c r="G110" s="79">
        <v>95778491</v>
      </c>
      <c r="H110" s="79">
        <v>0</v>
      </c>
      <c r="I110" s="79">
        <v>30917745</v>
      </c>
      <c r="J110" s="79">
        <v>0</v>
      </c>
      <c r="K110" s="79">
        <v>4</v>
      </c>
      <c r="L110" s="79">
        <v>14</v>
      </c>
      <c r="M110" s="79">
        <v>17</v>
      </c>
      <c r="N110" s="90">
        <v>9007</v>
      </c>
    </row>
    <row r="111" spans="1:14">
      <c r="A111" s="78">
        <v>1152186210</v>
      </c>
      <c r="B111" s="79">
        <v>33</v>
      </c>
      <c r="C111" s="79">
        <v>0</v>
      </c>
      <c r="D111" s="79">
        <v>5</v>
      </c>
      <c r="E111" s="79">
        <v>9</v>
      </c>
      <c r="F111" s="79">
        <v>8325220.5</v>
      </c>
      <c r="G111" s="79">
        <v>68900000</v>
      </c>
      <c r="H111" s="79">
        <v>0</v>
      </c>
      <c r="I111" s="79">
        <v>136723763</v>
      </c>
      <c r="J111" s="79">
        <v>0</v>
      </c>
      <c r="K111" s="79">
        <v>3</v>
      </c>
      <c r="L111" s="79">
        <v>14</v>
      </c>
      <c r="M111" s="79">
        <v>12</v>
      </c>
      <c r="N111" s="90">
        <v>9004</v>
      </c>
    </row>
    <row r="112" spans="1:14">
      <c r="A112" s="78">
        <v>1016022263</v>
      </c>
      <c r="B112" s="79">
        <v>66</v>
      </c>
      <c r="C112" s="79">
        <v>6</v>
      </c>
      <c r="D112" s="79">
        <v>8</v>
      </c>
      <c r="E112" s="79">
        <v>2</v>
      </c>
      <c r="F112" s="79">
        <v>8897500</v>
      </c>
      <c r="G112" s="79">
        <v>72000000</v>
      </c>
      <c r="H112" s="79">
        <v>15000000</v>
      </c>
      <c r="I112" s="79">
        <v>43562000</v>
      </c>
      <c r="J112" s="79">
        <v>0</v>
      </c>
      <c r="K112" s="79">
        <v>3</v>
      </c>
      <c r="L112" s="79">
        <v>3</v>
      </c>
      <c r="M112" s="79">
        <v>4</v>
      </c>
      <c r="N112" s="90">
        <v>9008</v>
      </c>
    </row>
    <row r="113" spans="1:14">
      <c r="A113" s="78">
        <v>1090418259</v>
      </c>
      <c r="B113" s="79">
        <v>53</v>
      </c>
      <c r="C113" s="79">
        <v>3</v>
      </c>
      <c r="D113" s="79">
        <v>5</v>
      </c>
      <c r="E113" s="79">
        <v>2</v>
      </c>
      <c r="F113" s="79">
        <v>8300000</v>
      </c>
      <c r="G113" s="79">
        <v>110431659.09999999</v>
      </c>
      <c r="H113" s="79">
        <v>0</v>
      </c>
      <c r="I113" s="79">
        <v>26979885</v>
      </c>
      <c r="J113" s="79">
        <v>0</v>
      </c>
      <c r="K113" s="79">
        <v>3</v>
      </c>
      <c r="L113" s="79">
        <v>11</v>
      </c>
      <c r="M113" s="79">
        <v>14</v>
      </c>
      <c r="N113" s="90">
        <v>9009</v>
      </c>
    </row>
    <row r="114" spans="1:14">
      <c r="A114" s="78">
        <v>1129533233</v>
      </c>
      <c r="B114" s="79">
        <v>66</v>
      </c>
      <c r="C114" s="79">
        <v>1</v>
      </c>
      <c r="D114" s="79">
        <v>7</v>
      </c>
      <c r="E114" s="79">
        <v>1</v>
      </c>
      <c r="F114" s="79">
        <v>4305000</v>
      </c>
      <c r="G114" s="79">
        <v>36200000</v>
      </c>
      <c r="H114" s="79">
        <v>0</v>
      </c>
      <c r="I114" s="79">
        <v>12706823</v>
      </c>
      <c r="J114" s="79">
        <v>0</v>
      </c>
      <c r="K114" s="79">
        <v>0</v>
      </c>
      <c r="L114" s="79">
        <v>2</v>
      </c>
      <c r="M114" s="79">
        <v>15</v>
      </c>
      <c r="N114" s="90">
        <v>9005</v>
      </c>
    </row>
    <row r="115" spans="1:14">
      <c r="A115" s="78">
        <v>1110455144</v>
      </c>
      <c r="B115" s="79">
        <v>93</v>
      </c>
      <c r="C115" s="79">
        <v>1</v>
      </c>
      <c r="D115" s="79">
        <v>7</v>
      </c>
      <c r="E115" s="79">
        <v>4</v>
      </c>
      <c r="F115" s="79">
        <v>7320000</v>
      </c>
      <c r="G115" s="79">
        <v>122910000</v>
      </c>
      <c r="H115" s="79">
        <v>75000000</v>
      </c>
      <c r="I115" s="79">
        <v>59614354</v>
      </c>
      <c r="J115" s="79">
        <v>0</v>
      </c>
      <c r="K115" s="79">
        <v>7</v>
      </c>
      <c r="L115" s="79">
        <v>8</v>
      </c>
      <c r="M115" s="79">
        <v>14</v>
      </c>
      <c r="N115" s="90">
        <v>9009</v>
      </c>
    </row>
    <row r="116" spans="1:14">
      <c r="A116" s="78">
        <v>1095816078</v>
      </c>
      <c r="B116" s="79">
        <v>91</v>
      </c>
      <c r="C116" s="79">
        <v>2</v>
      </c>
      <c r="D116" s="79">
        <v>10</v>
      </c>
      <c r="E116" s="79">
        <v>0</v>
      </c>
      <c r="F116" s="79">
        <v>1660000</v>
      </c>
      <c r="G116" s="79">
        <v>11200000</v>
      </c>
      <c r="H116" s="79">
        <v>0</v>
      </c>
      <c r="I116" s="79">
        <v>20900000</v>
      </c>
      <c r="J116" s="79">
        <v>0</v>
      </c>
      <c r="K116" s="79">
        <v>1</v>
      </c>
      <c r="L116" s="79">
        <v>11</v>
      </c>
      <c r="M116" s="79">
        <v>10</v>
      </c>
      <c r="N116" s="90">
        <v>9002</v>
      </c>
    </row>
    <row r="117" spans="1:14">
      <c r="A117" s="78">
        <v>1022373282</v>
      </c>
      <c r="B117" s="79">
        <v>68</v>
      </c>
      <c r="C117" s="79">
        <v>2</v>
      </c>
      <c r="D117" s="79">
        <v>13</v>
      </c>
      <c r="E117" s="79">
        <v>2</v>
      </c>
      <c r="F117" s="79">
        <v>4860000</v>
      </c>
      <c r="G117" s="79">
        <v>22300000</v>
      </c>
      <c r="H117" s="79">
        <v>35523510.210000001</v>
      </c>
      <c r="I117" s="79">
        <v>59573100</v>
      </c>
      <c r="J117" s="79">
        <v>0</v>
      </c>
      <c r="K117" s="79">
        <v>2</v>
      </c>
      <c r="L117" s="79">
        <v>8</v>
      </c>
      <c r="M117" s="79">
        <v>5</v>
      </c>
      <c r="N117" s="90">
        <v>9008</v>
      </c>
    </row>
    <row r="118" spans="1:14">
      <c r="A118" s="78">
        <v>91529653</v>
      </c>
      <c r="B118" s="79">
        <v>67</v>
      </c>
      <c r="C118" s="79">
        <v>4</v>
      </c>
      <c r="D118" s="79">
        <v>8</v>
      </c>
      <c r="E118" s="79">
        <v>2</v>
      </c>
      <c r="F118" s="79">
        <v>4561250</v>
      </c>
      <c r="G118" s="79">
        <v>27537636.170000002</v>
      </c>
      <c r="H118" s="79">
        <v>14679994.050000001</v>
      </c>
      <c r="I118" s="79">
        <v>71195801</v>
      </c>
      <c r="J118" s="79">
        <v>0</v>
      </c>
      <c r="K118" s="79">
        <v>2</v>
      </c>
      <c r="L118" s="79">
        <v>14</v>
      </c>
      <c r="M118" s="79">
        <v>6</v>
      </c>
      <c r="N118" s="90">
        <v>9008</v>
      </c>
    </row>
    <row r="119" spans="1:14">
      <c r="A119" s="78">
        <v>37393718</v>
      </c>
      <c r="B119" s="79">
        <v>77</v>
      </c>
      <c r="C119" s="79">
        <v>6</v>
      </c>
      <c r="D119" s="79">
        <v>11</v>
      </c>
      <c r="E119" s="79">
        <v>2</v>
      </c>
      <c r="F119" s="79">
        <v>7625000</v>
      </c>
      <c r="G119" s="79">
        <v>111650000</v>
      </c>
      <c r="H119" s="79">
        <v>0</v>
      </c>
      <c r="I119" s="79">
        <v>123647891</v>
      </c>
      <c r="J119" s="79">
        <v>0</v>
      </c>
      <c r="K119" s="79">
        <v>7</v>
      </c>
      <c r="L119" s="79">
        <v>19</v>
      </c>
      <c r="M119" s="79">
        <v>21</v>
      </c>
      <c r="N119" s="90">
        <v>9002</v>
      </c>
    </row>
    <row r="120" spans="1:14">
      <c r="A120" s="78">
        <v>1022337954</v>
      </c>
      <c r="B120" s="79">
        <v>89</v>
      </c>
      <c r="C120" s="79">
        <v>0</v>
      </c>
      <c r="D120" s="79">
        <v>10</v>
      </c>
      <c r="E120" s="79">
        <v>1</v>
      </c>
      <c r="F120" s="79">
        <v>607661.66666666674</v>
      </c>
      <c r="G120" s="79">
        <v>80000000</v>
      </c>
      <c r="H120" s="79">
        <v>16549697.899999999</v>
      </c>
      <c r="I120" s="79">
        <v>62572716</v>
      </c>
      <c r="J120" s="79">
        <v>0</v>
      </c>
      <c r="K120" s="79">
        <v>3</v>
      </c>
      <c r="L120" s="79">
        <v>37</v>
      </c>
      <c r="M120" s="79">
        <v>16</v>
      </c>
      <c r="N120" s="90">
        <v>9003</v>
      </c>
    </row>
    <row r="121" spans="1:14">
      <c r="A121" s="78">
        <v>80058437</v>
      </c>
      <c r="B121" s="79">
        <v>47</v>
      </c>
      <c r="C121" s="79">
        <v>8</v>
      </c>
      <c r="D121" s="79">
        <v>6</v>
      </c>
      <c r="E121" s="79">
        <v>0</v>
      </c>
      <c r="F121" s="79">
        <v>1087500</v>
      </c>
      <c r="G121" s="79">
        <v>23000000</v>
      </c>
      <c r="H121" s="79">
        <v>0</v>
      </c>
      <c r="I121" s="79">
        <v>49215700</v>
      </c>
      <c r="J121" s="79">
        <v>0</v>
      </c>
      <c r="K121" s="79">
        <v>0</v>
      </c>
      <c r="L121" s="79">
        <v>8</v>
      </c>
      <c r="M121" s="79">
        <v>3</v>
      </c>
      <c r="N121" s="90">
        <v>9004</v>
      </c>
    </row>
    <row r="122" spans="1:14">
      <c r="A122" s="78">
        <v>1053333894</v>
      </c>
      <c r="B122" s="79">
        <v>68</v>
      </c>
      <c r="C122" s="79">
        <v>3</v>
      </c>
      <c r="D122" s="79">
        <v>8</v>
      </c>
      <c r="E122" s="79">
        <v>4</v>
      </c>
      <c r="F122" s="79">
        <v>5290000</v>
      </c>
      <c r="G122" s="79">
        <v>67400000</v>
      </c>
      <c r="H122" s="79">
        <v>5044555.93</v>
      </c>
      <c r="I122" s="79">
        <v>50773200</v>
      </c>
      <c r="J122" s="79">
        <v>0</v>
      </c>
      <c r="K122" s="79">
        <v>2</v>
      </c>
      <c r="L122" s="79">
        <v>7</v>
      </c>
      <c r="M122" s="79">
        <v>3</v>
      </c>
      <c r="N122" s="90">
        <v>9001</v>
      </c>
    </row>
    <row r="123" spans="1:14">
      <c r="A123" s="78">
        <v>52395260</v>
      </c>
      <c r="B123" s="79">
        <v>36</v>
      </c>
      <c r="C123" s="79">
        <v>4</v>
      </c>
      <c r="D123" s="79">
        <v>12</v>
      </c>
      <c r="E123" s="79">
        <v>6</v>
      </c>
      <c r="F123" s="79">
        <v>1873857.5</v>
      </c>
      <c r="G123" s="79">
        <v>11200000</v>
      </c>
      <c r="H123" s="79">
        <v>0</v>
      </c>
      <c r="I123" s="79">
        <v>45578000</v>
      </c>
      <c r="J123" s="79">
        <v>0</v>
      </c>
      <c r="K123" s="79">
        <v>1</v>
      </c>
      <c r="L123" s="79">
        <v>3</v>
      </c>
      <c r="M123" s="79">
        <v>0</v>
      </c>
      <c r="N123" s="90">
        <v>9005</v>
      </c>
    </row>
    <row r="124" spans="1:14">
      <c r="A124" s="78">
        <v>1076383411</v>
      </c>
      <c r="B124" s="79">
        <v>81</v>
      </c>
      <c r="C124" s="79">
        <v>5</v>
      </c>
      <c r="D124" s="79">
        <v>10</v>
      </c>
      <c r="E124" s="79">
        <v>10</v>
      </c>
      <c r="F124" s="79">
        <v>1600000</v>
      </c>
      <c r="G124" s="79">
        <v>22000000</v>
      </c>
      <c r="H124" s="79">
        <v>0</v>
      </c>
      <c r="I124" s="79">
        <v>53846700</v>
      </c>
      <c r="J124" s="79">
        <v>0</v>
      </c>
      <c r="K124" s="79">
        <v>5</v>
      </c>
      <c r="L124" s="79">
        <v>11</v>
      </c>
      <c r="M124" s="79">
        <v>7</v>
      </c>
      <c r="N124" s="90">
        <v>9006</v>
      </c>
    </row>
    <row r="125" spans="1:14">
      <c r="A125" s="78">
        <v>59828397</v>
      </c>
      <c r="B125" s="79">
        <v>27</v>
      </c>
      <c r="C125" s="79">
        <v>7</v>
      </c>
      <c r="D125" s="79">
        <v>14</v>
      </c>
      <c r="E125" s="79">
        <v>1</v>
      </c>
      <c r="F125" s="79">
        <v>2926000</v>
      </c>
      <c r="G125" s="79">
        <v>45000000</v>
      </c>
      <c r="H125" s="79">
        <v>0</v>
      </c>
      <c r="I125" s="79">
        <v>30431000</v>
      </c>
      <c r="J125" s="79">
        <v>0</v>
      </c>
      <c r="K125" s="79">
        <v>2</v>
      </c>
      <c r="L125" s="79">
        <v>6</v>
      </c>
      <c r="M125" s="79">
        <v>13</v>
      </c>
      <c r="N125" s="90">
        <v>9007</v>
      </c>
    </row>
    <row r="126" spans="1:14">
      <c r="A126" s="78">
        <v>1128470692</v>
      </c>
      <c r="B126" s="79">
        <v>69</v>
      </c>
      <c r="C126" s="79">
        <v>2</v>
      </c>
      <c r="D126" s="79">
        <v>6</v>
      </c>
      <c r="E126" s="79">
        <v>0</v>
      </c>
      <c r="F126" s="79">
        <v>8193386.833333333</v>
      </c>
      <c r="G126" s="79">
        <v>103000000</v>
      </c>
      <c r="H126" s="79">
        <v>0</v>
      </c>
      <c r="I126" s="79">
        <v>131779550</v>
      </c>
      <c r="J126" s="79">
        <v>0</v>
      </c>
      <c r="K126" s="79">
        <v>4</v>
      </c>
      <c r="L126" s="79">
        <v>11</v>
      </c>
      <c r="M126" s="79">
        <v>5</v>
      </c>
      <c r="N126" s="90">
        <v>9009</v>
      </c>
    </row>
    <row r="127" spans="1:14">
      <c r="A127" s="78">
        <v>1124017849</v>
      </c>
      <c r="B127" s="79">
        <v>28</v>
      </c>
      <c r="C127" s="79">
        <v>1</v>
      </c>
      <c r="D127" s="79">
        <v>5</v>
      </c>
      <c r="E127" s="79">
        <v>0</v>
      </c>
      <c r="F127" s="79">
        <v>0</v>
      </c>
      <c r="G127" s="79">
        <v>0</v>
      </c>
      <c r="H127" s="79">
        <v>0</v>
      </c>
      <c r="I127" s="79">
        <v>0</v>
      </c>
      <c r="J127" s="79">
        <v>0</v>
      </c>
      <c r="K127" s="79">
        <v>0</v>
      </c>
      <c r="L127" s="79">
        <v>4</v>
      </c>
      <c r="M127" s="79">
        <v>9</v>
      </c>
      <c r="N127" s="90">
        <v>9007</v>
      </c>
    </row>
    <row r="128" spans="1:14">
      <c r="A128" s="78">
        <v>1037577914</v>
      </c>
      <c r="B128" s="79">
        <v>73</v>
      </c>
      <c r="C128" s="79">
        <v>2</v>
      </c>
      <c r="D128" s="79">
        <v>6</v>
      </c>
      <c r="E128" s="79">
        <v>7</v>
      </c>
      <c r="F128" s="79">
        <v>4389874.166666667</v>
      </c>
      <c r="G128" s="79">
        <v>125500000</v>
      </c>
      <c r="H128" s="79">
        <v>15000000</v>
      </c>
      <c r="I128" s="79">
        <v>102800474</v>
      </c>
      <c r="J128" s="79">
        <v>0</v>
      </c>
      <c r="K128" s="79">
        <v>7</v>
      </c>
      <c r="L128" s="79">
        <v>7</v>
      </c>
      <c r="M128" s="79">
        <v>7</v>
      </c>
      <c r="N128" s="90">
        <v>9009</v>
      </c>
    </row>
    <row r="129" spans="1:14">
      <c r="A129" s="78">
        <v>22448668</v>
      </c>
      <c r="B129" s="79">
        <v>14</v>
      </c>
      <c r="C129" s="79">
        <v>0</v>
      </c>
      <c r="D129" s="79">
        <v>2</v>
      </c>
      <c r="E129" s="79">
        <v>1</v>
      </c>
      <c r="F129" s="79">
        <v>40000</v>
      </c>
      <c r="G129" s="79">
        <v>0</v>
      </c>
      <c r="H129" s="79">
        <v>0</v>
      </c>
      <c r="I129" s="79">
        <v>4761124</v>
      </c>
      <c r="J129" s="79">
        <v>0</v>
      </c>
      <c r="K129" s="79">
        <v>0</v>
      </c>
      <c r="L129" s="79">
        <v>4</v>
      </c>
      <c r="M129" s="79">
        <v>1</v>
      </c>
      <c r="N129" s="90">
        <v>9004</v>
      </c>
    </row>
    <row r="130" spans="1:14">
      <c r="A130" s="78">
        <v>1024502023</v>
      </c>
      <c r="B130" s="79">
        <v>67</v>
      </c>
      <c r="C130" s="79">
        <v>1</v>
      </c>
      <c r="D130" s="79">
        <v>4</v>
      </c>
      <c r="E130" s="79">
        <v>0</v>
      </c>
      <c r="F130" s="79">
        <v>0</v>
      </c>
      <c r="G130" s="79">
        <v>5000000</v>
      </c>
      <c r="H130" s="79">
        <v>0</v>
      </c>
      <c r="I130" s="79">
        <v>31968290</v>
      </c>
      <c r="J130" s="79">
        <v>0</v>
      </c>
      <c r="K130" s="79">
        <v>0</v>
      </c>
      <c r="L130" s="79">
        <v>1</v>
      </c>
      <c r="M130" s="79">
        <v>0</v>
      </c>
      <c r="N130" s="90">
        <v>9001</v>
      </c>
    </row>
    <row r="131" spans="1:14">
      <c r="A131" s="78">
        <v>1023871661</v>
      </c>
      <c r="B131" s="79">
        <v>34</v>
      </c>
      <c r="C131" s="79">
        <v>5</v>
      </c>
      <c r="D131" s="79">
        <v>8</v>
      </c>
      <c r="E131" s="79">
        <v>3</v>
      </c>
      <c r="F131" s="79">
        <v>185000</v>
      </c>
      <c r="G131" s="79">
        <v>68100000</v>
      </c>
      <c r="H131" s="79">
        <v>120000000</v>
      </c>
      <c r="I131" s="79">
        <v>27530509</v>
      </c>
      <c r="J131" s="79">
        <v>0</v>
      </c>
      <c r="K131" s="79">
        <v>0</v>
      </c>
      <c r="L131" s="79">
        <v>1</v>
      </c>
      <c r="M131" s="79">
        <v>2</v>
      </c>
      <c r="N131" s="90">
        <v>9009</v>
      </c>
    </row>
    <row r="132" spans="1:14">
      <c r="A132" s="78">
        <v>1140824117</v>
      </c>
      <c r="B132" s="79">
        <v>52</v>
      </c>
      <c r="C132" s="79">
        <v>1</v>
      </c>
      <c r="D132" s="79">
        <v>12</v>
      </c>
      <c r="E132" s="79">
        <v>0</v>
      </c>
      <c r="F132" s="79">
        <v>6335000</v>
      </c>
      <c r="G132" s="79">
        <v>53700000</v>
      </c>
      <c r="H132" s="79">
        <v>0</v>
      </c>
      <c r="I132" s="79">
        <v>0</v>
      </c>
      <c r="J132" s="79">
        <v>0</v>
      </c>
      <c r="K132" s="79">
        <v>2</v>
      </c>
      <c r="L132" s="79">
        <v>11</v>
      </c>
      <c r="M132" s="79">
        <v>12</v>
      </c>
      <c r="N132" s="90">
        <v>9003</v>
      </c>
    </row>
    <row r="133" spans="1:14">
      <c r="A133" s="78">
        <v>1030666605</v>
      </c>
      <c r="B133" s="79">
        <v>100</v>
      </c>
      <c r="C133" s="79">
        <v>2</v>
      </c>
      <c r="D133" s="79">
        <v>7</v>
      </c>
      <c r="E133" s="79">
        <v>1</v>
      </c>
      <c r="F133" s="79">
        <v>6090000</v>
      </c>
      <c r="G133" s="79">
        <v>78000000</v>
      </c>
      <c r="H133" s="79">
        <v>0</v>
      </c>
      <c r="I133" s="79">
        <v>63723100</v>
      </c>
      <c r="J133" s="79">
        <v>0</v>
      </c>
      <c r="K133" s="79">
        <v>3</v>
      </c>
      <c r="L133" s="79">
        <v>7</v>
      </c>
      <c r="M133" s="79">
        <v>6</v>
      </c>
      <c r="N133" s="90">
        <v>9009</v>
      </c>
    </row>
    <row r="134" spans="1:14">
      <c r="A134" s="78">
        <v>1140868919</v>
      </c>
      <c r="B134" s="79">
        <v>69</v>
      </c>
      <c r="C134" s="79">
        <v>1</v>
      </c>
      <c r="D134" s="79">
        <v>9</v>
      </c>
      <c r="E134" s="79">
        <v>1</v>
      </c>
      <c r="F134" s="79">
        <v>5220000</v>
      </c>
      <c r="G134" s="79">
        <v>136000000</v>
      </c>
      <c r="H134" s="79">
        <v>0</v>
      </c>
      <c r="I134" s="79">
        <v>45430107</v>
      </c>
      <c r="J134" s="79">
        <v>0</v>
      </c>
      <c r="K134" s="79">
        <v>1</v>
      </c>
      <c r="L134" s="79">
        <v>12</v>
      </c>
      <c r="M134" s="79">
        <v>7</v>
      </c>
      <c r="N134" s="90">
        <v>9002</v>
      </c>
    </row>
    <row r="135" spans="1:14">
      <c r="A135" s="78">
        <v>51835123</v>
      </c>
      <c r="B135" s="79">
        <v>27</v>
      </c>
      <c r="C135" s="79">
        <v>0</v>
      </c>
      <c r="D135" s="79">
        <v>4</v>
      </c>
      <c r="E135" s="79">
        <v>7</v>
      </c>
      <c r="F135" s="79">
        <v>615000</v>
      </c>
      <c r="G135" s="79">
        <v>-22900000</v>
      </c>
      <c r="H135" s="79">
        <v>0</v>
      </c>
      <c r="I135" s="79">
        <v>58534969</v>
      </c>
      <c r="J135" s="79">
        <v>0</v>
      </c>
      <c r="K135" s="79">
        <v>0</v>
      </c>
      <c r="L135" s="79">
        <v>1</v>
      </c>
      <c r="M135" s="79">
        <v>2</v>
      </c>
      <c r="N135" s="90">
        <v>9009</v>
      </c>
    </row>
    <row r="136" spans="1:14">
      <c r="A136" s="78">
        <v>1081813294</v>
      </c>
      <c r="B136" s="79">
        <v>79</v>
      </c>
      <c r="C136" s="79">
        <v>2</v>
      </c>
      <c r="D136" s="79">
        <v>17</v>
      </c>
      <c r="E136" s="79">
        <v>2</v>
      </c>
      <c r="F136" s="79">
        <v>9410000</v>
      </c>
      <c r="G136" s="79">
        <v>217410000</v>
      </c>
      <c r="H136" s="79">
        <v>0</v>
      </c>
      <c r="I136" s="79">
        <v>102847317</v>
      </c>
      <c r="J136" s="79">
        <v>0</v>
      </c>
      <c r="K136" s="79">
        <v>6</v>
      </c>
      <c r="L136" s="79">
        <v>6</v>
      </c>
      <c r="M136" s="79">
        <v>6</v>
      </c>
      <c r="N136" s="90">
        <v>9002</v>
      </c>
    </row>
    <row r="137" spans="1:14">
      <c r="A137" s="78">
        <v>79685961</v>
      </c>
      <c r="B137" s="79">
        <v>77</v>
      </c>
      <c r="C137" s="79">
        <v>2</v>
      </c>
      <c r="D137" s="79">
        <v>12</v>
      </c>
      <c r="E137" s="79">
        <v>3</v>
      </c>
      <c r="F137" s="79">
        <v>2368577.5</v>
      </c>
      <c r="G137" s="79">
        <v>63500000</v>
      </c>
      <c r="H137" s="79">
        <v>6439848.9900000002</v>
      </c>
      <c r="I137" s="79">
        <v>93467467</v>
      </c>
      <c r="J137" s="79">
        <v>0</v>
      </c>
      <c r="K137" s="79">
        <v>1</v>
      </c>
      <c r="L137" s="79">
        <v>6</v>
      </c>
      <c r="M137" s="79">
        <v>14</v>
      </c>
      <c r="N137" s="90">
        <v>9006</v>
      </c>
    </row>
    <row r="138" spans="1:14">
      <c r="A138" s="78">
        <v>1113648445</v>
      </c>
      <c r="B138" s="79">
        <v>38</v>
      </c>
      <c r="C138" s="79">
        <v>3</v>
      </c>
      <c r="D138" s="79">
        <v>9</v>
      </c>
      <c r="E138" s="79">
        <v>0</v>
      </c>
      <c r="F138" s="79">
        <v>3690000</v>
      </c>
      <c r="G138" s="79">
        <v>81600000</v>
      </c>
      <c r="H138" s="79">
        <v>0</v>
      </c>
      <c r="I138" s="79">
        <v>50215103</v>
      </c>
      <c r="J138" s="79">
        <v>0</v>
      </c>
      <c r="K138" s="79">
        <v>1</v>
      </c>
      <c r="L138" s="79">
        <v>1</v>
      </c>
      <c r="M138" s="79">
        <v>2</v>
      </c>
      <c r="N138" s="90">
        <v>9001</v>
      </c>
    </row>
    <row r="139" spans="1:14">
      <c r="A139" s="78">
        <v>1017139629</v>
      </c>
      <c r="B139" s="79">
        <v>117</v>
      </c>
      <c r="C139" s="79">
        <v>3</v>
      </c>
      <c r="D139" s="79">
        <v>6</v>
      </c>
      <c r="E139" s="79">
        <v>10</v>
      </c>
      <c r="F139" s="79">
        <v>1345000</v>
      </c>
      <c r="G139" s="79">
        <v>5000000</v>
      </c>
      <c r="H139" s="79">
        <v>0</v>
      </c>
      <c r="I139" s="79">
        <v>109441500</v>
      </c>
      <c r="J139" s="79">
        <v>0</v>
      </c>
      <c r="K139" s="79">
        <v>1</v>
      </c>
      <c r="L139" s="79">
        <v>8</v>
      </c>
      <c r="M139" s="79">
        <v>1</v>
      </c>
      <c r="N139" s="90">
        <v>9009</v>
      </c>
    </row>
    <row r="140" spans="1:14">
      <c r="A140" s="78">
        <v>37321869</v>
      </c>
      <c r="B140" s="79">
        <v>44</v>
      </c>
      <c r="C140" s="79">
        <v>4</v>
      </c>
      <c r="D140" s="79">
        <v>4</v>
      </c>
      <c r="E140" s="79">
        <v>1</v>
      </c>
      <c r="F140" s="79">
        <v>1288000</v>
      </c>
      <c r="G140" s="79">
        <v>6000000</v>
      </c>
      <c r="H140" s="79">
        <v>0</v>
      </c>
      <c r="I140" s="79">
        <v>37359700</v>
      </c>
      <c r="J140" s="79">
        <v>0</v>
      </c>
      <c r="K140" s="79">
        <v>0</v>
      </c>
      <c r="L140" s="79">
        <v>2</v>
      </c>
      <c r="M140" s="79">
        <v>2</v>
      </c>
      <c r="N140" s="90">
        <v>9007</v>
      </c>
    </row>
    <row r="141" spans="1:14">
      <c r="A141" s="78">
        <v>1152187419</v>
      </c>
      <c r="B141" s="79">
        <v>44</v>
      </c>
      <c r="C141" s="79">
        <v>2</v>
      </c>
      <c r="D141" s="79">
        <v>9</v>
      </c>
      <c r="E141" s="79">
        <v>4</v>
      </c>
      <c r="F141" s="79">
        <v>8403000</v>
      </c>
      <c r="G141" s="79">
        <v>41774253.600000001</v>
      </c>
      <c r="H141" s="79">
        <v>10000000</v>
      </c>
      <c r="I141" s="79">
        <v>112448000</v>
      </c>
      <c r="J141" s="79">
        <v>0</v>
      </c>
      <c r="K141" s="79">
        <v>3</v>
      </c>
      <c r="L141" s="79">
        <v>6</v>
      </c>
      <c r="M141" s="79">
        <v>4</v>
      </c>
      <c r="N141" s="90">
        <v>9005</v>
      </c>
    </row>
    <row r="142" spans="1:14">
      <c r="A142" s="78">
        <v>1045666213</v>
      </c>
      <c r="B142" s="79">
        <v>26</v>
      </c>
      <c r="C142" s="79">
        <v>4</v>
      </c>
      <c r="D142" s="79">
        <v>2</v>
      </c>
      <c r="E142" s="79">
        <v>6</v>
      </c>
      <c r="F142" s="79">
        <v>1368500</v>
      </c>
      <c r="G142" s="79">
        <v>42400000</v>
      </c>
      <c r="H142" s="79">
        <v>0</v>
      </c>
      <c r="I142" s="79">
        <v>54500000</v>
      </c>
      <c r="J142" s="79">
        <v>0</v>
      </c>
      <c r="K142" s="79">
        <v>2</v>
      </c>
      <c r="L142" s="79">
        <v>0</v>
      </c>
      <c r="M142" s="79">
        <v>2</v>
      </c>
      <c r="N142" s="90">
        <v>9003</v>
      </c>
    </row>
    <row r="143" spans="1:14">
      <c r="A143" s="78">
        <v>51793150</v>
      </c>
      <c r="B143" s="79">
        <v>98</v>
      </c>
      <c r="C143" s="79">
        <v>2</v>
      </c>
      <c r="D143" s="79">
        <v>6</v>
      </c>
      <c r="E143" s="79">
        <v>1</v>
      </c>
      <c r="F143" s="79">
        <v>615000</v>
      </c>
      <c r="G143" s="79">
        <v>48000000</v>
      </c>
      <c r="H143" s="79">
        <v>127000000</v>
      </c>
      <c r="I143" s="79">
        <v>0</v>
      </c>
      <c r="J143" s="79">
        <v>0</v>
      </c>
      <c r="K143" s="79">
        <v>0</v>
      </c>
      <c r="L143" s="79">
        <v>2</v>
      </c>
      <c r="M143" s="79">
        <v>1</v>
      </c>
      <c r="N143" s="90">
        <v>9002</v>
      </c>
    </row>
    <row r="144" spans="1:14">
      <c r="A144" s="78">
        <v>1031171573</v>
      </c>
      <c r="B144" s="79">
        <v>46</v>
      </c>
      <c r="C144" s="79">
        <v>0</v>
      </c>
      <c r="D144" s="79">
        <v>9</v>
      </c>
      <c r="E144" s="79">
        <v>2</v>
      </c>
      <c r="F144" s="79">
        <v>2645000</v>
      </c>
      <c r="G144" s="79">
        <v>81900000</v>
      </c>
      <c r="H144" s="79">
        <v>15000000</v>
      </c>
      <c r="I144" s="79">
        <v>32685000</v>
      </c>
      <c r="J144" s="79">
        <v>0</v>
      </c>
      <c r="K144" s="79">
        <v>1</v>
      </c>
      <c r="L144" s="79">
        <v>9</v>
      </c>
      <c r="M144" s="79">
        <v>0</v>
      </c>
      <c r="N144" s="90">
        <v>9001</v>
      </c>
    </row>
    <row r="145" spans="1:14">
      <c r="A145" s="78">
        <v>1013581339</v>
      </c>
      <c r="B145" s="79">
        <v>48</v>
      </c>
      <c r="C145" s="79">
        <v>0</v>
      </c>
      <c r="D145" s="79">
        <v>3</v>
      </c>
      <c r="E145" s="79">
        <v>3</v>
      </c>
      <c r="F145" s="79">
        <v>3075000</v>
      </c>
      <c r="G145" s="79">
        <v>0</v>
      </c>
      <c r="H145" s="79">
        <v>37000000</v>
      </c>
      <c r="I145" s="79">
        <v>15026764</v>
      </c>
      <c r="J145" s="79">
        <v>0</v>
      </c>
      <c r="K145" s="79">
        <v>0</v>
      </c>
      <c r="L145" s="79">
        <v>1</v>
      </c>
      <c r="M145" s="79">
        <v>0</v>
      </c>
      <c r="N145" s="90">
        <v>9002</v>
      </c>
    </row>
    <row r="146" spans="1:14">
      <c r="A146" s="78">
        <v>1012353112</v>
      </c>
      <c r="B146" s="79">
        <v>45</v>
      </c>
      <c r="C146" s="79">
        <v>2</v>
      </c>
      <c r="D146" s="79">
        <v>5</v>
      </c>
      <c r="E146" s="79">
        <v>0</v>
      </c>
      <c r="F146" s="79">
        <v>-311471.75</v>
      </c>
      <c r="G146" s="79">
        <v>6000000</v>
      </c>
      <c r="H146" s="79">
        <v>0</v>
      </c>
      <c r="I146" s="79">
        <v>49489000</v>
      </c>
      <c r="J146" s="79">
        <v>0</v>
      </c>
      <c r="K146" s="79">
        <v>0</v>
      </c>
      <c r="L146" s="79">
        <v>4</v>
      </c>
      <c r="M146" s="79">
        <v>1</v>
      </c>
      <c r="N146" s="90">
        <v>9004</v>
      </c>
    </row>
    <row r="147" spans="1:14">
      <c r="A147" s="78">
        <v>1012389944</v>
      </c>
      <c r="B147" s="79">
        <v>94</v>
      </c>
      <c r="C147" s="79">
        <v>5</v>
      </c>
      <c r="D147" s="79">
        <v>10</v>
      </c>
      <c r="E147" s="79">
        <v>0</v>
      </c>
      <c r="F147" s="79">
        <v>1045000</v>
      </c>
      <c r="G147" s="79">
        <v>60000000</v>
      </c>
      <c r="H147" s="79">
        <v>0</v>
      </c>
      <c r="I147" s="79">
        <v>15885758</v>
      </c>
      <c r="J147" s="79">
        <v>0</v>
      </c>
      <c r="K147" s="79">
        <v>0</v>
      </c>
      <c r="L147" s="79">
        <v>4</v>
      </c>
      <c r="M147" s="79">
        <v>3</v>
      </c>
      <c r="N147" s="90">
        <v>9007</v>
      </c>
    </row>
    <row r="148" spans="1:14">
      <c r="A148" s="78">
        <v>43187286</v>
      </c>
      <c r="B148" s="79">
        <v>36</v>
      </c>
      <c r="C148" s="79">
        <v>1</v>
      </c>
      <c r="D148" s="79">
        <v>2</v>
      </c>
      <c r="E148" s="79">
        <v>2</v>
      </c>
      <c r="F148" s="79">
        <v>5577500</v>
      </c>
      <c r="G148" s="79">
        <v>89100000</v>
      </c>
      <c r="H148" s="79">
        <v>0</v>
      </c>
      <c r="I148" s="79">
        <v>70466751</v>
      </c>
      <c r="J148" s="79">
        <v>0</v>
      </c>
      <c r="K148" s="79">
        <v>3</v>
      </c>
      <c r="L148" s="79">
        <v>8</v>
      </c>
      <c r="M148" s="79">
        <v>4</v>
      </c>
      <c r="N148" s="90">
        <v>9004</v>
      </c>
    </row>
    <row r="149" spans="1:14">
      <c r="A149" s="78">
        <v>1018495960</v>
      </c>
      <c r="B149" s="79">
        <v>82</v>
      </c>
      <c r="C149" s="79">
        <v>5</v>
      </c>
      <c r="D149" s="79">
        <v>13</v>
      </c>
      <c r="E149" s="79">
        <v>4</v>
      </c>
      <c r="F149" s="79">
        <v>5327820</v>
      </c>
      <c r="G149" s="79">
        <v>63207638</v>
      </c>
      <c r="H149" s="79">
        <v>23000000</v>
      </c>
      <c r="I149" s="79">
        <v>39322200</v>
      </c>
      <c r="J149" s="79">
        <v>0</v>
      </c>
      <c r="K149" s="79">
        <v>2</v>
      </c>
      <c r="L149" s="79">
        <v>6</v>
      </c>
      <c r="M149" s="79">
        <v>7</v>
      </c>
      <c r="N149" s="90">
        <v>9009</v>
      </c>
    </row>
    <row r="150" spans="1:14">
      <c r="A150" s="78">
        <v>32743416</v>
      </c>
      <c r="B150" s="79">
        <v>67</v>
      </c>
      <c r="C150" s="79">
        <v>6</v>
      </c>
      <c r="D150" s="79">
        <v>11</v>
      </c>
      <c r="E150" s="79">
        <v>4</v>
      </c>
      <c r="F150" s="79">
        <v>6950000</v>
      </c>
      <c r="G150" s="79">
        <v>134400000</v>
      </c>
      <c r="H150" s="79">
        <v>0</v>
      </c>
      <c r="I150" s="79">
        <v>12058000</v>
      </c>
      <c r="J150" s="79">
        <v>0</v>
      </c>
      <c r="K150" s="79">
        <v>5</v>
      </c>
      <c r="L150" s="79">
        <v>7</v>
      </c>
      <c r="M150" s="79">
        <v>7</v>
      </c>
      <c r="N150" s="90">
        <v>9002</v>
      </c>
    </row>
    <row r="151" spans="1:14">
      <c r="A151" s="78">
        <v>1030671677</v>
      </c>
      <c r="B151" s="79">
        <v>66</v>
      </c>
      <c r="C151" s="79">
        <v>0</v>
      </c>
      <c r="D151" s="79">
        <v>5</v>
      </c>
      <c r="E151" s="79">
        <v>1</v>
      </c>
      <c r="F151" s="79">
        <v>185000</v>
      </c>
      <c r="G151" s="79">
        <v>0</v>
      </c>
      <c r="H151" s="79">
        <v>0</v>
      </c>
      <c r="I151" s="79">
        <v>9683400</v>
      </c>
      <c r="J151" s="79">
        <v>0</v>
      </c>
      <c r="K151" s="79">
        <v>0</v>
      </c>
      <c r="L151" s="79">
        <v>0</v>
      </c>
      <c r="M151" s="79">
        <v>0</v>
      </c>
      <c r="N151" s="90">
        <v>9004</v>
      </c>
    </row>
    <row r="152" spans="1:14">
      <c r="A152" s="78">
        <v>1022361478</v>
      </c>
      <c r="B152" s="79">
        <v>80</v>
      </c>
      <c r="C152" s="79">
        <v>1</v>
      </c>
      <c r="D152" s="79">
        <v>12</v>
      </c>
      <c r="E152" s="79">
        <v>0</v>
      </c>
      <c r="F152" s="79">
        <v>5965000</v>
      </c>
      <c r="G152" s="79">
        <v>30000000</v>
      </c>
      <c r="H152" s="79">
        <v>111500000</v>
      </c>
      <c r="I152" s="79">
        <v>24044690</v>
      </c>
      <c r="J152" s="79">
        <v>0</v>
      </c>
      <c r="K152" s="79">
        <v>0</v>
      </c>
      <c r="L152" s="79">
        <v>8</v>
      </c>
      <c r="M152" s="79">
        <v>15</v>
      </c>
      <c r="N152" s="90">
        <v>9008</v>
      </c>
    </row>
    <row r="153" spans="1:14">
      <c r="A153" s="78">
        <v>1121873295</v>
      </c>
      <c r="B153" s="79">
        <v>80</v>
      </c>
      <c r="C153" s="79">
        <v>2</v>
      </c>
      <c r="D153" s="79">
        <v>6</v>
      </c>
      <c r="E153" s="79">
        <v>1</v>
      </c>
      <c r="F153" s="79">
        <v>7505000</v>
      </c>
      <c r="G153" s="79">
        <v>126200000</v>
      </c>
      <c r="H153" s="79">
        <v>0</v>
      </c>
      <c r="I153" s="79">
        <v>71410000</v>
      </c>
      <c r="J153" s="79">
        <v>0</v>
      </c>
      <c r="K153" s="79">
        <v>4</v>
      </c>
      <c r="L153" s="79">
        <v>2</v>
      </c>
      <c r="M153" s="79">
        <v>9</v>
      </c>
      <c r="N153" s="90">
        <v>9006</v>
      </c>
    </row>
    <row r="154" spans="1:14">
      <c r="A154" s="78">
        <v>38656544</v>
      </c>
      <c r="B154" s="79">
        <v>58</v>
      </c>
      <c r="C154" s="79">
        <v>1</v>
      </c>
      <c r="D154" s="79">
        <v>5</v>
      </c>
      <c r="E154" s="79">
        <v>0</v>
      </c>
      <c r="F154" s="79">
        <v>10025000</v>
      </c>
      <c r="G154" s="79">
        <v>115000000</v>
      </c>
      <c r="H154" s="79">
        <v>0</v>
      </c>
      <c r="I154" s="79">
        <v>96243338</v>
      </c>
      <c r="J154" s="79">
        <v>0</v>
      </c>
      <c r="K154" s="79">
        <v>3</v>
      </c>
      <c r="L154" s="79">
        <v>4</v>
      </c>
      <c r="M154" s="79">
        <v>6</v>
      </c>
      <c r="N154" s="90">
        <v>9004</v>
      </c>
    </row>
    <row r="155" spans="1:14">
      <c r="A155" s="78">
        <v>43636947</v>
      </c>
      <c r="B155" s="79">
        <v>26</v>
      </c>
      <c r="C155" s="79">
        <v>1</v>
      </c>
      <c r="D155" s="79">
        <v>8</v>
      </c>
      <c r="E155" s="79">
        <v>3</v>
      </c>
      <c r="F155" s="79">
        <v>1230000</v>
      </c>
      <c r="G155" s="79">
        <v>35000000</v>
      </c>
      <c r="H155" s="79">
        <v>0</v>
      </c>
      <c r="I155" s="79">
        <v>66806000</v>
      </c>
      <c r="J155" s="79">
        <v>0</v>
      </c>
      <c r="K155" s="79">
        <v>0</v>
      </c>
      <c r="L155" s="79">
        <v>3</v>
      </c>
      <c r="M155" s="79">
        <v>0</v>
      </c>
      <c r="N155" s="90">
        <v>9003</v>
      </c>
    </row>
    <row r="156" spans="1:14">
      <c r="A156" s="78">
        <v>53053512</v>
      </c>
      <c r="B156" s="79">
        <v>0</v>
      </c>
      <c r="C156" s="79">
        <v>0</v>
      </c>
      <c r="D156" s="79">
        <v>0</v>
      </c>
      <c r="E156" s="79">
        <v>0</v>
      </c>
      <c r="F156" s="79">
        <v>0</v>
      </c>
      <c r="G156" s="79">
        <v>-9300000</v>
      </c>
      <c r="H156" s="79">
        <v>0</v>
      </c>
      <c r="I156" s="79">
        <v>1883550</v>
      </c>
      <c r="J156" s="79">
        <v>0</v>
      </c>
      <c r="K156" s="79">
        <v>0</v>
      </c>
      <c r="L156" s="79">
        <v>1</v>
      </c>
      <c r="M156" s="79">
        <v>0</v>
      </c>
      <c r="N156" s="90">
        <v>9009</v>
      </c>
    </row>
    <row r="157" spans="1:14">
      <c r="A157" s="78">
        <v>1031165003</v>
      </c>
      <c r="B157" s="79">
        <v>51</v>
      </c>
      <c r="C157" s="79">
        <v>3</v>
      </c>
      <c r="D157" s="79">
        <v>5</v>
      </c>
      <c r="E157" s="79">
        <v>4</v>
      </c>
      <c r="F157" s="79">
        <v>985524</v>
      </c>
      <c r="G157" s="79">
        <v>9200000</v>
      </c>
      <c r="H157" s="79">
        <v>0</v>
      </c>
      <c r="I157" s="79">
        <v>54585278</v>
      </c>
      <c r="J157" s="79">
        <v>0</v>
      </c>
      <c r="K157" s="79">
        <v>0</v>
      </c>
      <c r="L157" s="79">
        <v>2</v>
      </c>
      <c r="M157" s="79">
        <v>1</v>
      </c>
      <c r="N157" s="90">
        <v>9001</v>
      </c>
    </row>
    <row r="158" spans="1:14">
      <c r="A158" s="78">
        <v>32728324</v>
      </c>
      <c r="B158" s="79">
        <v>218</v>
      </c>
      <c r="C158" s="79">
        <v>0</v>
      </c>
      <c r="D158" s="79">
        <v>12</v>
      </c>
      <c r="E158" s="79">
        <v>1</v>
      </c>
      <c r="F158" s="79">
        <v>3260000</v>
      </c>
      <c r="G158" s="79">
        <v>47600000</v>
      </c>
      <c r="H158" s="79">
        <v>0</v>
      </c>
      <c r="I158" s="79">
        <v>19962000</v>
      </c>
      <c r="J158" s="79">
        <v>0</v>
      </c>
      <c r="K158" s="79">
        <v>4</v>
      </c>
      <c r="L158" s="79">
        <v>11</v>
      </c>
      <c r="M158" s="79">
        <v>6</v>
      </c>
      <c r="N158" s="90">
        <v>9005</v>
      </c>
    </row>
    <row r="159" spans="1:14">
      <c r="A159" s="78">
        <v>1019078302</v>
      </c>
      <c r="B159" s="79">
        <v>42</v>
      </c>
      <c r="C159" s="79">
        <v>3</v>
      </c>
      <c r="D159" s="79">
        <v>11</v>
      </c>
      <c r="E159" s="79">
        <v>5</v>
      </c>
      <c r="F159" s="79">
        <v>3690000</v>
      </c>
      <c r="G159" s="79">
        <v>67500000</v>
      </c>
      <c r="H159" s="79">
        <v>77000000</v>
      </c>
      <c r="I159" s="79">
        <v>58063330</v>
      </c>
      <c r="J159" s="79">
        <v>0</v>
      </c>
      <c r="K159" s="79">
        <v>0</v>
      </c>
      <c r="L159" s="79">
        <v>0</v>
      </c>
      <c r="M159" s="79">
        <v>0</v>
      </c>
      <c r="N159" s="90">
        <v>9004</v>
      </c>
    </row>
    <row r="160" spans="1:14">
      <c r="A160" s="78">
        <v>1053814651</v>
      </c>
      <c r="B160" s="79">
        <v>74</v>
      </c>
      <c r="C160" s="79">
        <v>2</v>
      </c>
      <c r="D160" s="79">
        <v>17</v>
      </c>
      <c r="E160" s="79">
        <v>5</v>
      </c>
      <c r="F160" s="79">
        <v>9655000</v>
      </c>
      <c r="G160" s="79">
        <v>78542000</v>
      </c>
      <c r="H160" s="79">
        <v>37100000</v>
      </c>
      <c r="I160" s="79">
        <v>93418670</v>
      </c>
      <c r="J160" s="79">
        <v>0</v>
      </c>
      <c r="K160" s="79">
        <v>9</v>
      </c>
      <c r="L160" s="79">
        <v>13</v>
      </c>
      <c r="M160" s="79">
        <v>13</v>
      </c>
      <c r="N160" s="90">
        <v>9004</v>
      </c>
    </row>
    <row r="161" spans="1:14">
      <c r="A161" s="78">
        <v>1000774106</v>
      </c>
      <c r="B161" s="79">
        <v>77</v>
      </c>
      <c r="C161" s="79">
        <v>5</v>
      </c>
      <c r="D161" s="79">
        <v>8</v>
      </c>
      <c r="E161" s="79">
        <v>2</v>
      </c>
      <c r="F161" s="79">
        <v>7125888.666666667</v>
      </c>
      <c r="G161" s="79">
        <v>82200000</v>
      </c>
      <c r="H161" s="79">
        <v>0</v>
      </c>
      <c r="I161" s="79">
        <v>51316423</v>
      </c>
      <c r="J161" s="79">
        <v>0</v>
      </c>
      <c r="K161" s="79">
        <v>6</v>
      </c>
      <c r="L161" s="79">
        <v>18</v>
      </c>
      <c r="M161" s="79">
        <v>5</v>
      </c>
      <c r="N161" s="90">
        <v>9004</v>
      </c>
    </row>
    <row r="162" spans="1:14">
      <c r="A162" s="78">
        <v>31031818</v>
      </c>
      <c r="B162" s="79">
        <v>96</v>
      </c>
      <c r="C162" s="79">
        <v>2</v>
      </c>
      <c r="D162" s="79">
        <v>4</v>
      </c>
      <c r="E162" s="79">
        <v>1</v>
      </c>
      <c r="F162" s="79">
        <v>3875000</v>
      </c>
      <c r="G162" s="79">
        <v>127000000</v>
      </c>
      <c r="H162" s="79">
        <v>0</v>
      </c>
      <c r="I162" s="79">
        <v>0</v>
      </c>
      <c r="J162" s="79">
        <v>0</v>
      </c>
      <c r="K162" s="79">
        <v>3</v>
      </c>
      <c r="L162" s="79">
        <v>4</v>
      </c>
      <c r="M162" s="79">
        <v>4</v>
      </c>
      <c r="N162" s="90">
        <v>9002</v>
      </c>
    </row>
    <row r="163" spans="1:14">
      <c r="A163" s="78">
        <v>1023012625</v>
      </c>
      <c r="B163" s="79">
        <v>82</v>
      </c>
      <c r="C163" s="79">
        <v>5</v>
      </c>
      <c r="D163" s="79">
        <v>6</v>
      </c>
      <c r="E163" s="79">
        <v>1</v>
      </c>
      <c r="F163" s="79">
        <v>683058.16666666651</v>
      </c>
      <c r="G163" s="79">
        <v>43900000</v>
      </c>
      <c r="H163" s="79">
        <v>18000000</v>
      </c>
      <c r="I163" s="79">
        <v>51297520</v>
      </c>
      <c r="J163" s="79">
        <v>0</v>
      </c>
      <c r="K163" s="79">
        <v>5</v>
      </c>
      <c r="L163" s="79">
        <v>4</v>
      </c>
      <c r="M163" s="79">
        <v>8</v>
      </c>
      <c r="N163" s="90">
        <v>9001</v>
      </c>
    </row>
    <row r="164" spans="1:14">
      <c r="A164" s="78">
        <v>1030538055</v>
      </c>
      <c r="B164" s="79">
        <v>27</v>
      </c>
      <c r="C164" s="79">
        <v>1</v>
      </c>
      <c r="D164" s="79">
        <v>3</v>
      </c>
      <c r="E164" s="79">
        <v>1</v>
      </c>
      <c r="F164" s="79">
        <v>1584892.6666666667</v>
      </c>
      <c r="G164" s="79">
        <v>2700000</v>
      </c>
      <c r="H164" s="79">
        <v>0</v>
      </c>
      <c r="I164" s="79">
        <v>4449283</v>
      </c>
      <c r="J164" s="79">
        <v>0</v>
      </c>
      <c r="K164" s="79">
        <v>0</v>
      </c>
      <c r="L164" s="79">
        <v>3</v>
      </c>
      <c r="M164" s="79">
        <v>0</v>
      </c>
      <c r="N164" s="90">
        <v>9009</v>
      </c>
    </row>
    <row r="165" spans="1:14">
      <c r="A165" s="78">
        <v>52919443</v>
      </c>
      <c r="B165" s="79">
        <v>29</v>
      </c>
      <c r="C165" s="79">
        <v>2</v>
      </c>
      <c r="D165" s="79">
        <v>12</v>
      </c>
      <c r="E165" s="79">
        <v>3</v>
      </c>
      <c r="F165" s="79">
        <v>205000</v>
      </c>
      <c r="G165" s="79">
        <v>75000000</v>
      </c>
      <c r="H165" s="79">
        <v>21000000</v>
      </c>
      <c r="I165" s="79">
        <v>45659742</v>
      </c>
      <c r="J165" s="79">
        <v>0</v>
      </c>
      <c r="K165" s="79">
        <v>1</v>
      </c>
      <c r="L165" s="79">
        <v>12</v>
      </c>
      <c r="M165" s="79">
        <v>3</v>
      </c>
      <c r="N165" s="90">
        <v>9005</v>
      </c>
    </row>
    <row r="166" spans="1:14">
      <c r="A166" s="78">
        <v>1072654011</v>
      </c>
      <c r="B166" s="79">
        <v>49</v>
      </c>
      <c r="C166" s="79">
        <v>4</v>
      </c>
      <c r="D166" s="79">
        <v>11</v>
      </c>
      <c r="E166" s="79">
        <v>0</v>
      </c>
      <c r="F166" s="79">
        <v>2460000</v>
      </c>
      <c r="G166" s="79">
        <v>164000000</v>
      </c>
      <c r="H166" s="79">
        <v>5000000</v>
      </c>
      <c r="I166" s="79">
        <v>18197186</v>
      </c>
      <c r="J166" s="79">
        <v>0</v>
      </c>
      <c r="K166" s="79">
        <v>1</v>
      </c>
      <c r="L166" s="79">
        <v>1</v>
      </c>
      <c r="M166" s="79">
        <v>0</v>
      </c>
      <c r="N166" s="90">
        <v>9008</v>
      </c>
    </row>
    <row r="167" spans="1:14">
      <c r="A167" s="78">
        <v>1045737784</v>
      </c>
      <c r="B167" s="79">
        <v>79</v>
      </c>
      <c r="C167" s="79">
        <v>3</v>
      </c>
      <c r="D167" s="79">
        <v>6</v>
      </c>
      <c r="E167" s="79">
        <v>0</v>
      </c>
      <c r="F167" s="79">
        <v>1415000</v>
      </c>
      <c r="G167" s="79">
        <v>15000000</v>
      </c>
      <c r="H167" s="79">
        <v>0</v>
      </c>
      <c r="I167" s="79">
        <v>25734000</v>
      </c>
      <c r="J167" s="79">
        <v>0</v>
      </c>
      <c r="K167" s="79">
        <v>2</v>
      </c>
      <c r="L167" s="79">
        <v>2</v>
      </c>
      <c r="M167" s="79">
        <v>2</v>
      </c>
      <c r="N167" s="90">
        <v>9003</v>
      </c>
    </row>
    <row r="168" spans="1:14">
      <c r="A168" s="78">
        <v>1192736011</v>
      </c>
      <c r="B168" s="79">
        <v>45</v>
      </c>
      <c r="C168" s="79">
        <v>1</v>
      </c>
      <c r="D168" s="79">
        <v>15</v>
      </c>
      <c r="E168" s="79">
        <v>4</v>
      </c>
      <c r="F168" s="79">
        <v>13748136</v>
      </c>
      <c r="G168" s="79">
        <v>112400000</v>
      </c>
      <c r="H168" s="79">
        <v>24000000</v>
      </c>
      <c r="I168" s="79">
        <v>85443000</v>
      </c>
      <c r="J168" s="79">
        <v>0</v>
      </c>
      <c r="K168" s="79">
        <v>4</v>
      </c>
      <c r="L168" s="79">
        <v>7</v>
      </c>
      <c r="M168" s="79">
        <v>3</v>
      </c>
      <c r="N168" s="90">
        <v>9006</v>
      </c>
    </row>
    <row r="169" spans="1:14">
      <c r="A169" s="78">
        <v>1049624001</v>
      </c>
      <c r="B169" s="79">
        <v>43</v>
      </c>
      <c r="C169" s="79">
        <v>1</v>
      </c>
      <c r="D169" s="79">
        <v>1</v>
      </c>
      <c r="E169" s="79">
        <v>4</v>
      </c>
      <c r="F169" s="79">
        <v>10025000</v>
      </c>
      <c r="G169" s="79">
        <v>93500000</v>
      </c>
      <c r="H169" s="79">
        <v>0</v>
      </c>
      <c r="I169" s="79">
        <v>49116891</v>
      </c>
      <c r="J169" s="79">
        <v>0</v>
      </c>
      <c r="K169" s="79">
        <v>3</v>
      </c>
      <c r="L169" s="79">
        <v>3</v>
      </c>
      <c r="M169" s="79">
        <v>3</v>
      </c>
      <c r="N169" s="90">
        <v>9005</v>
      </c>
    </row>
    <row r="170" spans="1:14">
      <c r="A170" s="78">
        <v>1067855981</v>
      </c>
      <c r="B170" s="79">
        <v>64</v>
      </c>
      <c r="C170" s="79">
        <v>1</v>
      </c>
      <c r="D170" s="79">
        <v>12</v>
      </c>
      <c r="E170" s="79">
        <v>1</v>
      </c>
      <c r="F170" s="79">
        <v>6410430.166666667</v>
      </c>
      <c r="G170" s="79">
        <v>77100000</v>
      </c>
      <c r="H170" s="79">
        <v>0</v>
      </c>
      <c r="I170" s="79">
        <v>24938075</v>
      </c>
      <c r="J170" s="79">
        <v>0</v>
      </c>
      <c r="K170" s="79">
        <v>1</v>
      </c>
      <c r="L170" s="79">
        <v>5</v>
      </c>
      <c r="M170" s="79">
        <v>6</v>
      </c>
      <c r="N170" s="90">
        <v>9003</v>
      </c>
    </row>
    <row r="171" spans="1:14">
      <c r="A171" s="78">
        <v>34325898</v>
      </c>
      <c r="B171" s="79">
        <v>104</v>
      </c>
      <c r="C171" s="79">
        <v>2</v>
      </c>
      <c r="D171" s="79">
        <v>6</v>
      </c>
      <c r="E171" s="79">
        <v>0</v>
      </c>
      <c r="F171" s="79">
        <v>3445000</v>
      </c>
      <c r="G171" s="79">
        <v>86750000</v>
      </c>
      <c r="H171" s="79">
        <v>0</v>
      </c>
      <c r="I171" s="79">
        <v>47410203</v>
      </c>
      <c r="J171" s="79">
        <v>0</v>
      </c>
      <c r="K171" s="79">
        <v>2</v>
      </c>
      <c r="L171" s="79">
        <v>5</v>
      </c>
      <c r="M171" s="79">
        <v>4</v>
      </c>
      <c r="N171" s="90">
        <v>9002</v>
      </c>
    </row>
    <row r="172" spans="1:14">
      <c r="A172" s="78">
        <v>1110588149</v>
      </c>
      <c r="B172" s="79">
        <v>135</v>
      </c>
      <c r="C172" s="79">
        <v>8</v>
      </c>
      <c r="D172" s="79">
        <v>6</v>
      </c>
      <c r="E172" s="79">
        <v>2</v>
      </c>
      <c r="F172" s="79">
        <v>6598000</v>
      </c>
      <c r="G172" s="79">
        <v>66200000</v>
      </c>
      <c r="H172" s="79">
        <v>76300000</v>
      </c>
      <c r="I172" s="79">
        <v>21071000</v>
      </c>
      <c r="J172" s="79">
        <v>0</v>
      </c>
      <c r="K172" s="79">
        <v>3</v>
      </c>
      <c r="L172" s="79">
        <v>7</v>
      </c>
      <c r="M172" s="79">
        <v>4</v>
      </c>
      <c r="N172" s="90">
        <v>9001</v>
      </c>
    </row>
    <row r="173" spans="1:14">
      <c r="A173" s="78">
        <v>1022414613</v>
      </c>
      <c r="B173" s="79">
        <v>36</v>
      </c>
      <c r="C173" s="79">
        <v>2</v>
      </c>
      <c r="D173" s="79">
        <v>0</v>
      </c>
      <c r="E173" s="79">
        <v>1</v>
      </c>
      <c r="F173" s="79">
        <v>0</v>
      </c>
      <c r="G173" s="79">
        <v>20000000</v>
      </c>
      <c r="H173" s="79">
        <v>0</v>
      </c>
      <c r="I173" s="79">
        <v>12516000</v>
      </c>
      <c r="J173" s="79">
        <v>0</v>
      </c>
      <c r="K173" s="79">
        <v>1</v>
      </c>
      <c r="L173" s="79">
        <v>0</v>
      </c>
      <c r="M173" s="79">
        <v>0</v>
      </c>
      <c r="N173" s="90">
        <v>9007</v>
      </c>
    </row>
    <row r="174" spans="1:14">
      <c r="A174" s="78">
        <v>52218341</v>
      </c>
      <c r="B174" s="79">
        <v>41</v>
      </c>
      <c r="C174" s="79">
        <v>2</v>
      </c>
      <c r="D174" s="79">
        <v>12</v>
      </c>
      <c r="E174" s="79">
        <v>5</v>
      </c>
      <c r="F174" s="79">
        <v>1628013.75</v>
      </c>
      <c r="G174" s="79">
        <v>111100000</v>
      </c>
      <c r="H174" s="79">
        <v>33000000</v>
      </c>
      <c r="I174" s="79">
        <v>113366000</v>
      </c>
      <c r="J174" s="79">
        <v>0</v>
      </c>
      <c r="K174" s="79">
        <v>2</v>
      </c>
      <c r="L174" s="79">
        <v>5</v>
      </c>
      <c r="M174" s="79">
        <v>5</v>
      </c>
      <c r="N174" s="90">
        <v>9004</v>
      </c>
    </row>
    <row r="175" spans="1:14">
      <c r="A175" s="78">
        <v>1030633656</v>
      </c>
      <c r="B175" s="79">
        <v>84</v>
      </c>
      <c r="C175" s="79">
        <v>2</v>
      </c>
      <c r="D175" s="79">
        <v>5</v>
      </c>
      <c r="E175" s="79">
        <v>1</v>
      </c>
      <c r="F175" s="79">
        <v>0</v>
      </c>
      <c r="G175" s="79">
        <v>0</v>
      </c>
      <c r="H175" s="79">
        <v>65500000</v>
      </c>
      <c r="I175" s="79">
        <v>43253292</v>
      </c>
      <c r="J175" s="79">
        <v>0</v>
      </c>
      <c r="K175" s="79">
        <v>1</v>
      </c>
      <c r="L175" s="79">
        <v>9</v>
      </c>
      <c r="M175" s="79">
        <v>3</v>
      </c>
      <c r="N175" s="90">
        <v>9004</v>
      </c>
    </row>
    <row r="176" spans="1:14">
      <c r="A176" s="78">
        <v>1067888710</v>
      </c>
      <c r="B176" s="79">
        <v>102</v>
      </c>
      <c r="C176" s="79">
        <v>2</v>
      </c>
      <c r="D176" s="79">
        <v>15</v>
      </c>
      <c r="E176" s="79">
        <v>0</v>
      </c>
      <c r="F176" s="79">
        <v>615000</v>
      </c>
      <c r="G176" s="79">
        <v>11000000</v>
      </c>
      <c r="H176" s="79">
        <v>0</v>
      </c>
      <c r="I176" s="79">
        <v>27428700</v>
      </c>
      <c r="J176" s="79">
        <v>0</v>
      </c>
      <c r="K176" s="79">
        <v>3</v>
      </c>
      <c r="L176" s="79">
        <v>9</v>
      </c>
      <c r="M176" s="79">
        <v>15</v>
      </c>
      <c r="N176" s="90">
        <v>9005</v>
      </c>
    </row>
    <row r="177" spans="1:14">
      <c r="A177" s="78">
        <v>1033686889</v>
      </c>
      <c r="B177" s="79">
        <v>45</v>
      </c>
      <c r="C177" s="79">
        <v>6</v>
      </c>
      <c r="D177" s="79">
        <v>9</v>
      </c>
      <c r="E177" s="79">
        <v>13</v>
      </c>
      <c r="F177" s="79">
        <v>7542775.833333333</v>
      </c>
      <c r="G177" s="79">
        <v>32400000</v>
      </c>
      <c r="H177" s="79">
        <v>207668105.23000002</v>
      </c>
      <c r="I177" s="79">
        <v>49032417</v>
      </c>
      <c r="J177" s="79">
        <v>0</v>
      </c>
      <c r="K177" s="79">
        <v>7</v>
      </c>
      <c r="L177" s="79">
        <v>17</v>
      </c>
      <c r="M177" s="79">
        <v>16</v>
      </c>
      <c r="N177" s="90">
        <v>9008</v>
      </c>
    </row>
    <row r="178" spans="1:14">
      <c r="A178" s="78">
        <v>52760661</v>
      </c>
      <c r="B178" s="79">
        <v>24</v>
      </c>
      <c r="C178" s="79">
        <v>0</v>
      </c>
      <c r="D178" s="79">
        <v>6</v>
      </c>
      <c r="E178" s="79">
        <v>2</v>
      </c>
      <c r="F178" s="79">
        <v>3736290</v>
      </c>
      <c r="G178" s="79">
        <v>11000000</v>
      </c>
      <c r="H178" s="79">
        <v>5178664.16</v>
      </c>
      <c r="I178" s="79">
        <v>9082039</v>
      </c>
      <c r="J178" s="79">
        <v>0</v>
      </c>
      <c r="K178" s="79">
        <v>3</v>
      </c>
      <c r="L178" s="79">
        <v>8</v>
      </c>
      <c r="M178" s="79">
        <v>8</v>
      </c>
      <c r="N178" s="90">
        <v>9002</v>
      </c>
    </row>
    <row r="179" spans="1:14">
      <c r="A179" s="78">
        <v>1110546371</v>
      </c>
      <c r="B179" s="79">
        <v>61</v>
      </c>
      <c r="C179" s="79">
        <v>4</v>
      </c>
      <c r="D179" s="79">
        <v>4</v>
      </c>
      <c r="E179" s="79">
        <v>0</v>
      </c>
      <c r="F179" s="79">
        <v>5350000</v>
      </c>
      <c r="G179" s="79">
        <v>75500000</v>
      </c>
      <c r="H179" s="79">
        <v>50800000</v>
      </c>
      <c r="I179" s="79">
        <v>62360000</v>
      </c>
      <c r="J179" s="79">
        <v>0</v>
      </c>
      <c r="K179" s="79">
        <v>3</v>
      </c>
      <c r="L179" s="79">
        <v>4</v>
      </c>
      <c r="M179" s="79">
        <v>3</v>
      </c>
      <c r="N179" s="90">
        <v>9007</v>
      </c>
    </row>
    <row r="180" spans="1:14">
      <c r="A180" s="78">
        <v>37547801</v>
      </c>
      <c r="B180" s="79">
        <v>65</v>
      </c>
      <c r="C180" s="79">
        <v>2</v>
      </c>
      <c r="D180" s="79">
        <v>8</v>
      </c>
      <c r="E180" s="79">
        <v>3</v>
      </c>
      <c r="F180" s="79">
        <v>3505000</v>
      </c>
      <c r="G180" s="79">
        <v>10200000</v>
      </c>
      <c r="H180" s="79">
        <v>0</v>
      </c>
      <c r="I180" s="79">
        <v>36049920</v>
      </c>
      <c r="J180" s="79">
        <v>0</v>
      </c>
      <c r="K180" s="79">
        <v>2</v>
      </c>
      <c r="L180" s="79">
        <v>11</v>
      </c>
      <c r="M180" s="79">
        <v>5</v>
      </c>
      <c r="N180" s="90">
        <v>9007</v>
      </c>
    </row>
    <row r="181" spans="1:14">
      <c r="A181" s="78">
        <v>52932545</v>
      </c>
      <c r="B181" s="79">
        <v>114</v>
      </c>
      <c r="C181" s="79">
        <v>4</v>
      </c>
      <c r="D181" s="79">
        <v>6</v>
      </c>
      <c r="E181" s="79">
        <v>1</v>
      </c>
      <c r="F181" s="79">
        <v>8628000</v>
      </c>
      <c r="G181" s="79">
        <v>86000000</v>
      </c>
      <c r="H181" s="79">
        <v>0</v>
      </c>
      <c r="I181" s="79">
        <v>56637222</v>
      </c>
      <c r="J181" s="79">
        <v>0</v>
      </c>
      <c r="K181" s="79">
        <v>2</v>
      </c>
      <c r="L181" s="79">
        <v>9</v>
      </c>
      <c r="M181" s="79">
        <v>5</v>
      </c>
      <c r="N181" s="90">
        <v>9007</v>
      </c>
    </row>
    <row r="182" spans="1:14">
      <c r="A182" s="78">
        <v>1019072823</v>
      </c>
      <c r="B182" s="79">
        <v>0</v>
      </c>
      <c r="C182" s="79">
        <v>1</v>
      </c>
      <c r="D182" s="79">
        <v>2</v>
      </c>
      <c r="E182" s="79">
        <v>0</v>
      </c>
      <c r="F182" s="79">
        <v>0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 s="79">
        <v>0</v>
      </c>
      <c r="M182" s="79">
        <v>0</v>
      </c>
      <c r="N182" s="90">
        <v>9005</v>
      </c>
    </row>
    <row r="183" spans="1:14">
      <c r="A183" s="78">
        <v>1039447320</v>
      </c>
      <c r="B183" s="79">
        <v>52</v>
      </c>
      <c r="C183" s="79">
        <v>3</v>
      </c>
      <c r="D183" s="79">
        <v>5</v>
      </c>
      <c r="E183" s="79">
        <v>5</v>
      </c>
      <c r="F183" s="79">
        <v>8720698.666666666</v>
      </c>
      <c r="G183" s="79">
        <v>122100000</v>
      </c>
      <c r="H183" s="79">
        <v>0</v>
      </c>
      <c r="I183" s="79">
        <v>68339856</v>
      </c>
      <c r="J183" s="79">
        <v>0</v>
      </c>
      <c r="K183" s="79">
        <v>5</v>
      </c>
      <c r="L183" s="79">
        <v>16</v>
      </c>
      <c r="M183" s="79">
        <v>10</v>
      </c>
      <c r="N183" s="90">
        <v>9007</v>
      </c>
    </row>
    <row r="184" spans="1:14">
      <c r="A184" s="78">
        <v>1037632050</v>
      </c>
      <c r="B184" s="79">
        <v>43</v>
      </c>
      <c r="C184" s="79">
        <v>2</v>
      </c>
      <c r="D184" s="79">
        <v>12</v>
      </c>
      <c r="E184" s="79">
        <v>5</v>
      </c>
      <c r="F184" s="79">
        <v>9840000</v>
      </c>
      <c r="G184" s="79">
        <v>142000000</v>
      </c>
      <c r="H184" s="79">
        <v>50000000</v>
      </c>
      <c r="I184" s="79">
        <v>45650455</v>
      </c>
      <c r="J184" s="79">
        <v>0</v>
      </c>
      <c r="K184" s="79">
        <v>4</v>
      </c>
      <c r="L184" s="79">
        <v>9</v>
      </c>
      <c r="M184" s="79">
        <v>9</v>
      </c>
      <c r="N184" s="90">
        <v>9003</v>
      </c>
    </row>
    <row r="185" spans="1:14">
      <c r="A185" s="78">
        <v>1020441734</v>
      </c>
      <c r="B185" s="79">
        <v>27</v>
      </c>
      <c r="C185" s="79">
        <v>1</v>
      </c>
      <c r="D185" s="79">
        <v>3</v>
      </c>
      <c r="E185" s="79">
        <v>1</v>
      </c>
      <c r="F185" s="79">
        <v>3690000</v>
      </c>
      <c r="G185" s="79">
        <v>158400000</v>
      </c>
      <c r="H185" s="79">
        <v>10000000</v>
      </c>
      <c r="I185" s="79">
        <v>137406000</v>
      </c>
      <c r="J185" s="79">
        <v>31592000</v>
      </c>
      <c r="K185" s="79">
        <v>1</v>
      </c>
      <c r="L185" s="79">
        <v>3</v>
      </c>
      <c r="M185" s="79">
        <v>1</v>
      </c>
      <c r="N185" s="90">
        <v>9002</v>
      </c>
    </row>
    <row r="186" spans="1:14">
      <c r="A186" s="78">
        <v>5824284</v>
      </c>
      <c r="B186" s="79">
        <v>93</v>
      </c>
      <c r="C186" s="79">
        <v>5</v>
      </c>
      <c r="D186" s="79">
        <v>5</v>
      </c>
      <c r="E186" s="79">
        <v>2</v>
      </c>
      <c r="F186" s="79">
        <v>3690000</v>
      </c>
      <c r="G186" s="79">
        <v>88850000</v>
      </c>
      <c r="H186" s="79">
        <v>0</v>
      </c>
      <c r="I186" s="79">
        <v>46650093</v>
      </c>
      <c r="J186" s="79">
        <v>0</v>
      </c>
      <c r="K186" s="79">
        <v>6</v>
      </c>
      <c r="L186" s="79">
        <v>6</v>
      </c>
      <c r="M186" s="79">
        <v>7</v>
      </c>
      <c r="N186" s="90">
        <v>9005</v>
      </c>
    </row>
    <row r="187" spans="1:14">
      <c r="A187" s="78">
        <v>1128473381</v>
      </c>
      <c r="B187" s="79">
        <v>20</v>
      </c>
      <c r="C187" s="79">
        <v>0</v>
      </c>
      <c r="D187" s="79">
        <v>8</v>
      </c>
      <c r="E187" s="79">
        <v>5</v>
      </c>
      <c r="F187" s="79">
        <v>3133000</v>
      </c>
      <c r="G187" s="79">
        <v>23300000</v>
      </c>
      <c r="H187" s="79">
        <v>0</v>
      </c>
      <c r="I187" s="79">
        <v>222157500</v>
      </c>
      <c r="J187" s="79">
        <v>0</v>
      </c>
      <c r="K187" s="79">
        <v>4</v>
      </c>
      <c r="L187" s="79">
        <v>5</v>
      </c>
      <c r="M187" s="79">
        <v>4</v>
      </c>
      <c r="N187" s="90">
        <v>9003</v>
      </c>
    </row>
    <row r="188" spans="1:14">
      <c r="A188" s="78">
        <v>1033756294</v>
      </c>
      <c r="B188" s="79">
        <v>53</v>
      </c>
      <c r="C188" s="79">
        <v>1</v>
      </c>
      <c r="D188" s="79">
        <v>12</v>
      </c>
      <c r="E188" s="79">
        <v>4</v>
      </c>
      <c r="F188" s="79">
        <v>9655000</v>
      </c>
      <c r="G188" s="79">
        <v>32451768.449999996</v>
      </c>
      <c r="H188" s="79">
        <v>0</v>
      </c>
      <c r="I188" s="79">
        <v>18482000</v>
      </c>
      <c r="J188" s="79">
        <v>0</v>
      </c>
      <c r="K188" s="79">
        <v>5</v>
      </c>
      <c r="L188" s="79">
        <v>21</v>
      </c>
      <c r="M188" s="79">
        <v>10</v>
      </c>
      <c r="N188" s="90">
        <v>9005</v>
      </c>
    </row>
    <row r="189" spans="1:14">
      <c r="A189" s="78">
        <v>1044423436</v>
      </c>
      <c r="B189" s="79">
        <v>35</v>
      </c>
      <c r="C189" s="79">
        <v>0</v>
      </c>
      <c r="D189" s="79">
        <v>8</v>
      </c>
      <c r="E189" s="79">
        <v>6</v>
      </c>
      <c r="F189" s="79">
        <v>3757566.8333333335</v>
      </c>
      <c r="G189" s="79">
        <v>70900000</v>
      </c>
      <c r="H189" s="79">
        <v>0</v>
      </c>
      <c r="I189" s="79">
        <v>91873922</v>
      </c>
      <c r="J189" s="79">
        <v>0</v>
      </c>
      <c r="K189" s="79">
        <v>3</v>
      </c>
      <c r="L189" s="79">
        <v>10</v>
      </c>
      <c r="M189" s="79">
        <v>8</v>
      </c>
      <c r="N189" s="90">
        <v>9003</v>
      </c>
    </row>
    <row r="190" spans="1:14">
      <c r="A190" s="78">
        <v>1098310948</v>
      </c>
      <c r="B190" s="79">
        <v>118</v>
      </c>
      <c r="C190" s="79">
        <v>4</v>
      </c>
      <c r="D190" s="79">
        <v>11</v>
      </c>
      <c r="E190" s="79">
        <v>4</v>
      </c>
      <c r="F190" s="79">
        <v>6528613</v>
      </c>
      <c r="G190" s="79">
        <v>82977361.590000004</v>
      </c>
      <c r="H190" s="79">
        <v>12000000</v>
      </c>
      <c r="I190" s="79">
        <v>174848408</v>
      </c>
      <c r="J190" s="79">
        <v>0</v>
      </c>
      <c r="K190" s="79">
        <v>5</v>
      </c>
      <c r="L190" s="79">
        <v>5</v>
      </c>
      <c r="M190" s="79">
        <v>6</v>
      </c>
      <c r="N190" s="90">
        <v>9006</v>
      </c>
    </row>
    <row r="191" spans="1:14">
      <c r="A191" s="78">
        <v>28559553</v>
      </c>
      <c r="B191" s="79">
        <v>0</v>
      </c>
      <c r="C191" s="79">
        <v>0</v>
      </c>
      <c r="D191" s="79">
        <v>0</v>
      </c>
      <c r="E191" s="79">
        <v>0</v>
      </c>
      <c r="F191" s="79">
        <v>0</v>
      </c>
      <c r="G191" s="79">
        <v>0</v>
      </c>
      <c r="H191" s="79">
        <v>0</v>
      </c>
      <c r="I191" s="79">
        <v>0</v>
      </c>
      <c r="J191" s="79">
        <v>0</v>
      </c>
      <c r="K191" s="79">
        <v>0</v>
      </c>
      <c r="L191" s="79">
        <v>0</v>
      </c>
      <c r="M191" s="79">
        <v>0</v>
      </c>
      <c r="N191" s="90">
        <v>9005</v>
      </c>
    </row>
    <row r="192" spans="1:14">
      <c r="A192" s="78">
        <v>1088318521</v>
      </c>
      <c r="B192" s="79">
        <v>78</v>
      </c>
      <c r="C192" s="79">
        <v>6</v>
      </c>
      <c r="D192" s="79">
        <v>14</v>
      </c>
      <c r="E192" s="79">
        <v>8</v>
      </c>
      <c r="F192" s="79">
        <v>11313000</v>
      </c>
      <c r="G192" s="79">
        <v>77000000</v>
      </c>
      <c r="H192" s="79">
        <v>0</v>
      </c>
      <c r="I192" s="79">
        <v>62560000</v>
      </c>
      <c r="J192" s="79">
        <v>0</v>
      </c>
      <c r="K192" s="79">
        <v>7</v>
      </c>
      <c r="L192" s="79">
        <v>12</v>
      </c>
      <c r="M192" s="79">
        <v>11</v>
      </c>
      <c r="N192" s="90">
        <v>9004</v>
      </c>
    </row>
    <row r="193" spans="1:14">
      <c r="A193" s="78">
        <v>1012412351</v>
      </c>
      <c r="B193" s="79">
        <v>55</v>
      </c>
      <c r="C193" s="79">
        <v>2</v>
      </c>
      <c r="D193" s="79">
        <v>12</v>
      </c>
      <c r="E193" s="79">
        <v>2</v>
      </c>
      <c r="F193" s="79">
        <v>7380000</v>
      </c>
      <c r="G193" s="79">
        <v>56325384.420000002</v>
      </c>
      <c r="H193" s="79">
        <v>0</v>
      </c>
      <c r="I193" s="79">
        <v>75817653</v>
      </c>
      <c r="J193" s="79">
        <v>0</v>
      </c>
      <c r="K193" s="79">
        <v>4</v>
      </c>
      <c r="L193" s="79">
        <v>6</v>
      </c>
      <c r="M193" s="79">
        <v>13</v>
      </c>
      <c r="N193" s="90">
        <v>9008</v>
      </c>
    </row>
    <row r="194" spans="1:14">
      <c r="A194" s="78">
        <v>94516890</v>
      </c>
      <c r="B194" s="79">
        <v>50</v>
      </c>
      <c r="C194" s="79">
        <v>1</v>
      </c>
      <c r="D194" s="79">
        <v>6</v>
      </c>
      <c r="E194" s="79">
        <v>0</v>
      </c>
      <c r="F194" s="79">
        <v>1845000</v>
      </c>
      <c r="G194" s="79">
        <v>43600000</v>
      </c>
      <c r="H194" s="79">
        <v>0</v>
      </c>
      <c r="I194" s="79">
        <v>41403496</v>
      </c>
      <c r="J194" s="79">
        <v>0</v>
      </c>
      <c r="K194" s="79">
        <v>3</v>
      </c>
      <c r="L194" s="79">
        <v>3</v>
      </c>
      <c r="M194" s="79">
        <v>3</v>
      </c>
      <c r="N194" s="90">
        <v>9003</v>
      </c>
    </row>
    <row r="195" spans="1:14">
      <c r="A195" s="78">
        <v>36313483</v>
      </c>
      <c r="B195" s="79">
        <v>0</v>
      </c>
      <c r="C195" s="79">
        <v>0</v>
      </c>
      <c r="D195" s="79">
        <v>0</v>
      </c>
      <c r="E195" s="79">
        <v>0</v>
      </c>
      <c r="F195" s="79">
        <v>0</v>
      </c>
      <c r="G195" s="79">
        <v>0</v>
      </c>
      <c r="H195" s="79">
        <v>0</v>
      </c>
      <c r="I195" s="79">
        <v>0</v>
      </c>
      <c r="J195" s="79">
        <v>0</v>
      </c>
      <c r="K195" s="79">
        <v>1</v>
      </c>
      <c r="L195" s="79">
        <v>1</v>
      </c>
      <c r="M195" s="79">
        <v>1</v>
      </c>
      <c r="N195" s="90">
        <v>9008</v>
      </c>
    </row>
    <row r="196" spans="1:14">
      <c r="A196" s="78">
        <v>1024462932</v>
      </c>
      <c r="B196" s="79">
        <v>67</v>
      </c>
      <c r="C196" s="79">
        <v>6</v>
      </c>
      <c r="D196" s="79">
        <v>10</v>
      </c>
      <c r="E196" s="79">
        <v>17</v>
      </c>
      <c r="F196" s="79">
        <v>6067500</v>
      </c>
      <c r="G196" s="79">
        <v>83250000</v>
      </c>
      <c r="H196" s="79">
        <v>69269497.900000006</v>
      </c>
      <c r="I196" s="79">
        <v>72111766</v>
      </c>
      <c r="J196" s="79">
        <v>0</v>
      </c>
      <c r="K196" s="79">
        <v>4</v>
      </c>
      <c r="L196" s="79">
        <v>2</v>
      </c>
      <c r="M196" s="79">
        <v>5</v>
      </c>
      <c r="N196" s="90">
        <v>9007</v>
      </c>
    </row>
    <row r="197" spans="1:14">
      <c r="A197" s="78">
        <v>1122124840</v>
      </c>
      <c r="B197" s="79">
        <v>117</v>
      </c>
      <c r="C197" s="79">
        <v>3</v>
      </c>
      <c r="D197" s="79">
        <v>11</v>
      </c>
      <c r="E197" s="79">
        <v>2</v>
      </c>
      <c r="F197" s="79">
        <v>3752876.8333333335</v>
      </c>
      <c r="G197" s="79">
        <v>42000000</v>
      </c>
      <c r="H197" s="79">
        <v>0</v>
      </c>
      <c r="I197" s="79">
        <v>25169000</v>
      </c>
      <c r="J197" s="79">
        <v>0</v>
      </c>
      <c r="K197" s="79">
        <v>4</v>
      </c>
      <c r="L197" s="79">
        <v>8</v>
      </c>
      <c r="M197" s="79">
        <v>5</v>
      </c>
      <c r="N197" s="90">
        <v>9003</v>
      </c>
    </row>
    <row r="198" spans="1:14">
      <c r="A198" s="78">
        <v>1033776499</v>
      </c>
      <c r="B198" s="79">
        <v>46</v>
      </c>
      <c r="C198" s="79">
        <v>3</v>
      </c>
      <c r="D198" s="79">
        <v>3</v>
      </c>
      <c r="E198" s="79">
        <v>0</v>
      </c>
      <c r="F198" s="79">
        <v>1415000</v>
      </c>
      <c r="G198" s="79">
        <v>14500000</v>
      </c>
      <c r="H198" s="79">
        <v>15000000</v>
      </c>
      <c r="I198" s="79">
        <v>12028000</v>
      </c>
      <c r="J198" s="79">
        <v>0</v>
      </c>
      <c r="K198" s="79">
        <v>2</v>
      </c>
      <c r="L198" s="79">
        <v>2</v>
      </c>
      <c r="M198" s="79">
        <v>0</v>
      </c>
      <c r="N198" s="90">
        <v>9006</v>
      </c>
    </row>
    <row r="199" spans="1:14">
      <c r="A199" s="78">
        <v>1095938036</v>
      </c>
      <c r="B199" s="79">
        <v>54</v>
      </c>
      <c r="C199" s="79">
        <v>3</v>
      </c>
      <c r="D199" s="79">
        <v>9</v>
      </c>
      <c r="E199" s="79">
        <v>0</v>
      </c>
      <c r="F199" s="79">
        <v>5720000</v>
      </c>
      <c r="G199" s="79">
        <v>45729391.460000001</v>
      </c>
      <c r="H199" s="79">
        <v>0</v>
      </c>
      <c r="I199" s="79">
        <v>73071587</v>
      </c>
      <c r="J199" s="79">
        <v>0</v>
      </c>
      <c r="K199" s="79">
        <v>5</v>
      </c>
      <c r="L199" s="79">
        <v>4</v>
      </c>
      <c r="M199" s="79">
        <v>2</v>
      </c>
      <c r="N199" s="90">
        <v>9001</v>
      </c>
    </row>
    <row r="200" spans="1:14">
      <c r="A200" s="78">
        <v>98641807</v>
      </c>
      <c r="B200" s="79">
        <v>42</v>
      </c>
      <c r="C200" s="79">
        <v>2</v>
      </c>
      <c r="D200" s="79">
        <v>8</v>
      </c>
      <c r="E200" s="79">
        <v>1</v>
      </c>
      <c r="F200" s="79">
        <v>615000</v>
      </c>
      <c r="G200" s="79">
        <v>9600000</v>
      </c>
      <c r="H200" s="79">
        <v>0</v>
      </c>
      <c r="I200" s="79">
        <v>53321000</v>
      </c>
      <c r="J200" s="79">
        <v>0</v>
      </c>
      <c r="K200" s="79">
        <v>4</v>
      </c>
      <c r="L200" s="79">
        <v>6</v>
      </c>
      <c r="M200" s="79">
        <v>1</v>
      </c>
      <c r="N200" s="90">
        <v>9002</v>
      </c>
    </row>
    <row r="201" spans="1:14">
      <c r="A201" s="78">
        <v>1026251399</v>
      </c>
      <c r="B201" s="79">
        <v>0</v>
      </c>
      <c r="C201" s="79">
        <v>0</v>
      </c>
      <c r="D201" s="79">
        <v>0</v>
      </c>
      <c r="E201" s="79">
        <v>0</v>
      </c>
      <c r="F201" s="79">
        <v>0</v>
      </c>
      <c r="G201" s="79">
        <v>0</v>
      </c>
      <c r="H201" s="79">
        <v>0</v>
      </c>
      <c r="I201" s="79">
        <v>0</v>
      </c>
      <c r="J201" s="79">
        <v>0</v>
      </c>
      <c r="K201" s="79">
        <v>0</v>
      </c>
      <c r="L201" s="79">
        <v>0</v>
      </c>
      <c r="M201" s="79">
        <v>0</v>
      </c>
      <c r="N201" s="90">
        <v>9009</v>
      </c>
    </row>
    <row r="202" spans="1:14">
      <c r="A202" s="78">
        <v>37088011</v>
      </c>
      <c r="B202" s="79">
        <v>69</v>
      </c>
      <c r="C202" s="79">
        <v>7</v>
      </c>
      <c r="D202" s="79">
        <v>16</v>
      </c>
      <c r="E202" s="79">
        <v>2</v>
      </c>
      <c r="F202" s="79">
        <v>5914000</v>
      </c>
      <c r="G202" s="79">
        <v>55800000</v>
      </c>
      <c r="H202" s="79">
        <v>30000000</v>
      </c>
      <c r="I202" s="79">
        <v>111773023</v>
      </c>
      <c r="J202" s="79">
        <v>103500000</v>
      </c>
      <c r="K202" s="79">
        <v>0</v>
      </c>
      <c r="L202" s="79">
        <v>4</v>
      </c>
      <c r="M202" s="79">
        <v>13</v>
      </c>
      <c r="N202" s="90">
        <v>9006</v>
      </c>
    </row>
    <row r="203" spans="1:14">
      <c r="A203" s="78">
        <v>52821424</v>
      </c>
      <c r="B203" s="79">
        <v>66</v>
      </c>
      <c r="C203" s="79">
        <v>3</v>
      </c>
      <c r="D203" s="79">
        <v>17</v>
      </c>
      <c r="E203" s="79">
        <v>3</v>
      </c>
      <c r="F203" s="79">
        <v>12006131.5</v>
      </c>
      <c r="G203" s="79">
        <v>68000000</v>
      </c>
      <c r="H203" s="79">
        <v>90000000</v>
      </c>
      <c r="I203" s="79">
        <v>110215350</v>
      </c>
      <c r="J203" s="79">
        <v>0</v>
      </c>
      <c r="K203" s="79">
        <v>2</v>
      </c>
      <c r="L203" s="79">
        <v>8</v>
      </c>
      <c r="M203" s="79">
        <v>5</v>
      </c>
      <c r="N203" s="90">
        <v>9001</v>
      </c>
    </row>
    <row r="204" spans="1:14">
      <c r="A204" s="78">
        <v>1014265758</v>
      </c>
      <c r="B204" s="79">
        <v>78</v>
      </c>
      <c r="C204" s="79">
        <v>3</v>
      </c>
      <c r="D204" s="79">
        <v>12</v>
      </c>
      <c r="E204" s="79">
        <v>3</v>
      </c>
      <c r="F204" s="79">
        <v>4735000</v>
      </c>
      <c r="G204" s="79">
        <v>93055649.390000001</v>
      </c>
      <c r="H204" s="79">
        <v>0</v>
      </c>
      <c r="I204" s="79">
        <v>85282339</v>
      </c>
      <c r="J204" s="79">
        <v>0</v>
      </c>
      <c r="K204" s="79">
        <v>5</v>
      </c>
      <c r="L204" s="79">
        <v>8</v>
      </c>
      <c r="M204" s="79">
        <v>2</v>
      </c>
      <c r="N204" s="90">
        <v>9001</v>
      </c>
    </row>
    <row r="205" spans="1:14">
      <c r="A205" s="78">
        <v>65752276</v>
      </c>
      <c r="B205" s="79">
        <v>71</v>
      </c>
      <c r="C205" s="79">
        <v>1</v>
      </c>
      <c r="D205" s="79">
        <v>16</v>
      </c>
      <c r="E205" s="79">
        <v>0</v>
      </c>
      <c r="F205" s="79">
        <v>8240000</v>
      </c>
      <c r="G205" s="79">
        <v>95911121.599999994</v>
      </c>
      <c r="H205" s="79">
        <v>30000000</v>
      </c>
      <c r="I205" s="79">
        <v>108446226</v>
      </c>
      <c r="J205" s="79">
        <v>0</v>
      </c>
      <c r="K205" s="79">
        <v>6</v>
      </c>
      <c r="L205" s="79">
        <v>10</v>
      </c>
      <c r="M205" s="79">
        <v>15</v>
      </c>
      <c r="N205" s="90">
        <v>9003</v>
      </c>
    </row>
    <row r="206" spans="1:14">
      <c r="A206" s="78">
        <v>1115067117</v>
      </c>
      <c r="B206" s="79">
        <v>70</v>
      </c>
      <c r="C206" s="79">
        <v>4</v>
      </c>
      <c r="D206" s="79">
        <v>12</v>
      </c>
      <c r="E206" s="79">
        <v>9</v>
      </c>
      <c r="F206" s="79">
        <v>12485000</v>
      </c>
      <c r="G206" s="79">
        <v>181900000</v>
      </c>
      <c r="H206" s="79">
        <v>0</v>
      </c>
      <c r="I206" s="79">
        <v>76415043</v>
      </c>
      <c r="J206" s="79">
        <v>0</v>
      </c>
      <c r="K206" s="79">
        <v>14</v>
      </c>
      <c r="L206" s="79">
        <v>16</v>
      </c>
      <c r="M206" s="79">
        <v>15</v>
      </c>
      <c r="N206" s="90">
        <v>9001</v>
      </c>
    </row>
    <row r="207" spans="1:14">
      <c r="A207" s="78">
        <v>1023917311</v>
      </c>
      <c r="B207" s="79">
        <v>39</v>
      </c>
      <c r="C207" s="79">
        <v>5</v>
      </c>
      <c r="D207" s="79">
        <v>7</v>
      </c>
      <c r="E207" s="79">
        <v>4</v>
      </c>
      <c r="F207" s="79">
        <v>4962500</v>
      </c>
      <c r="G207" s="79">
        <v>47300000</v>
      </c>
      <c r="H207" s="79">
        <v>0</v>
      </c>
      <c r="I207" s="79">
        <v>47623012</v>
      </c>
      <c r="J207" s="79">
        <v>0</v>
      </c>
      <c r="K207" s="79">
        <v>4</v>
      </c>
      <c r="L207" s="79">
        <v>4</v>
      </c>
      <c r="M207" s="79">
        <v>6</v>
      </c>
      <c r="N207" s="90">
        <v>9004</v>
      </c>
    </row>
    <row r="208" spans="1:14">
      <c r="A208" s="78">
        <v>1129578041</v>
      </c>
      <c r="B208" s="79">
        <v>28</v>
      </c>
      <c r="C208" s="79">
        <v>3</v>
      </c>
      <c r="D208" s="79">
        <v>4</v>
      </c>
      <c r="E208" s="79">
        <v>4</v>
      </c>
      <c r="F208" s="79">
        <v>4621666.666666667</v>
      </c>
      <c r="G208" s="79">
        <v>75000000</v>
      </c>
      <c r="H208" s="79">
        <v>0</v>
      </c>
      <c r="I208" s="79">
        <v>50128172</v>
      </c>
      <c r="J208" s="79">
        <v>0</v>
      </c>
      <c r="K208" s="79">
        <v>1</v>
      </c>
      <c r="L208" s="79">
        <v>7</v>
      </c>
      <c r="M208" s="79">
        <v>3</v>
      </c>
      <c r="N208" s="90">
        <v>9001</v>
      </c>
    </row>
    <row r="209" spans="1:14">
      <c r="A209" s="78">
        <v>1015407301</v>
      </c>
      <c r="B209" s="79">
        <v>41</v>
      </c>
      <c r="C209" s="79">
        <v>1</v>
      </c>
      <c r="D209" s="79">
        <v>10</v>
      </c>
      <c r="E209" s="79">
        <v>7</v>
      </c>
      <c r="F209" s="79">
        <v>6067500</v>
      </c>
      <c r="G209" s="79">
        <v>79500000</v>
      </c>
      <c r="H209" s="79">
        <v>5000000</v>
      </c>
      <c r="I209" s="79">
        <v>96376000</v>
      </c>
      <c r="J209" s="79">
        <v>0</v>
      </c>
      <c r="K209" s="79">
        <v>2</v>
      </c>
      <c r="L209" s="79">
        <v>8</v>
      </c>
      <c r="M209" s="79">
        <v>1</v>
      </c>
      <c r="N209" s="90">
        <v>9008</v>
      </c>
    </row>
    <row r="210" spans="1:14">
      <c r="A210" s="78">
        <v>52018557</v>
      </c>
      <c r="B210" s="79">
        <v>71</v>
      </c>
      <c r="C210" s="79">
        <v>2</v>
      </c>
      <c r="D210" s="79">
        <v>5</v>
      </c>
      <c r="E210" s="79">
        <v>6</v>
      </c>
      <c r="F210" s="79">
        <v>1415000</v>
      </c>
      <c r="G210" s="79">
        <v>50000000</v>
      </c>
      <c r="H210" s="79">
        <v>0</v>
      </c>
      <c r="I210" s="79">
        <v>66714997</v>
      </c>
      <c r="J210" s="79">
        <v>0</v>
      </c>
      <c r="K210" s="79">
        <v>2</v>
      </c>
      <c r="L210" s="79">
        <v>6</v>
      </c>
      <c r="M210" s="79">
        <v>2</v>
      </c>
      <c r="N210" s="90">
        <v>9002</v>
      </c>
    </row>
    <row r="211" spans="1:14">
      <c r="A211" s="78">
        <v>1016009921</v>
      </c>
      <c r="B211" s="79">
        <v>51</v>
      </c>
      <c r="C211" s="79">
        <v>5</v>
      </c>
      <c r="D211" s="79">
        <v>7</v>
      </c>
      <c r="E211" s="79">
        <v>2</v>
      </c>
      <c r="F211" s="79">
        <v>3690000</v>
      </c>
      <c r="G211" s="79">
        <v>141261586.09</v>
      </c>
      <c r="H211" s="79">
        <v>11713214.76</v>
      </c>
      <c r="I211" s="79">
        <v>38259200</v>
      </c>
      <c r="J211" s="79">
        <v>0</v>
      </c>
      <c r="K211" s="79">
        <v>3</v>
      </c>
      <c r="L211" s="79">
        <v>6</v>
      </c>
      <c r="M211" s="79">
        <v>1</v>
      </c>
      <c r="N211" s="90">
        <v>9005</v>
      </c>
    </row>
    <row r="212" spans="1:14">
      <c r="A212" s="78">
        <v>1019067657</v>
      </c>
      <c r="B212" s="79">
        <v>65</v>
      </c>
      <c r="C212" s="79">
        <v>7</v>
      </c>
      <c r="D212" s="79">
        <v>15</v>
      </c>
      <c r="E212" s="79">
        <v>1</v>
      </c>
      <c r="F212" s="79">
        <v>4490000</v>
      </c>
      <c r="G212" s="79">
        <v>10000000</v>
      </c>
      <c r="H212" s="79">
        <v>10000000</v>
      </c>
      <c r="I212" s="79">
        <v>93721952</v>
      </c>
      <c r="J212" s="79">
        <v>0</v>
      </c>
      <c r="K212" s="79">
        <v>3</v>
      </c>
      <c r="L212" s="79">
        <v>8</v>
      </c>
      <c r="M212" s="79">
        <v>3</v>
      </c>
      <c r="N212" s="90">
        <v>9007</v>
      </c>
    </row>
    <row r="213" spans="1:14">
      <c r="A213" s="78">
        <v>1098660043</v>
      </c>
      <c r="B213" s="79">
        <v>21</v>
      </c>
      <c r="C213" s="79">
        <v>2</v>
      </c>
      <c r="D213" s="79">
        <v>0</v>
      </c>
      <c r="E213" s="79">
        <v>2</v>
      </c>
      <c r="F213" s="79">
        <v>2890000</v>
      </c>
      <c r="G213" s="79">
        <v>15000000</v>
      </c>
      <c r="H213" s="79">
        <v>0</v>
      </c>
      <c r="I213" s="79">
        <v>19327573</v>
      </c>
      <c r="J213" s="79">
        <v>47700000</v>
      </c>
      <c r="K213" s="79">
        <v>0</v>
      </c>
      <c r="L213" s="79">
        <v>0</v>
      </c>
      <c r="M213" s="79">
        <v>0</v>
      </c>
      <c r="N213" s="90">
        <v>9004</v>
      </c>
    </row>
    <row r="214" spans="1:14">
      <c r="A214" s="78">
        <v>1015401515</v>
      </c>
      <c r="B214" s="79">
        <v>59</v>
      </c>
      <c r="C214" s="79">
        <v>1</v>
      </c>
      <c r="D214" s="79">
        <v>10</v>
      </c>
      <c r="E214" s="79">
        <v>5</v>
      </c>
      <c r="F214" s="79">
        <v>3445000</v>
      </c>
      <c r="G214" s="79">
        <v>44000000</v>
      </c>
      <c r="H214" s="79">
        <v>0</v>
      </c>
      <c r="I214" s="79">
        <v>50572080</v>
      </c>
      <c r="J214" s="79">
        <v>0</v>
      </c>
      <c r="K214" s="79">
        <v>0</v>
      </c>
      <c r="L214" s="79">
        <v>4</v>
      </c>
      <c r="M214" s="79">
        <v>1</v>
      </c>
      <c r="N214" s="90">
        <v>9004</v>
      </c>
    </row>
    <row r="215" spans="1:14">
      <c r="A215" s="78">
        <v>38360495</v>
      </c>
      <c r="B215" s="79">
        <v>103</v>
      </c>
      <c r="C215" s="79">
        <v>2</v>
      </c>
      <c r="D215" s="79">
        <v>12</v>
      </c>
      <c r="E215" s="79">
        <v>4</v>
      </c>
      <c r="F215" s="79">
        <v>6908206</v>
      </c>
      <c r="G215" s="79">
        <v>76950000</v>
      </c>
      <c r="H215" s="79">
        <v>30000000</v>
      </c>
      <c r="I215" s="79">
        <v>127256693</v>
      </c>
      <c r="J215" s="79">
        <v>0</v>
      </c>
      <c r="K215" s="79">
        <v>8</v>
      </c>
      <c r="L215" s="79">
        <v>10</v>
      </c>
      <c r="M215" s="79">
        <v>14</v>
      </c>
      <c r="N215" s="90">
        <v>9005</v>
      </c>
    </row>
    <row r="216" spans="1:14">
      <c r="A216" s="78">
        <v>1017184760</v>
      </c>
      <c r="B216" s="79">
        <v>145</v>
      </c>
      <c r="C216" s="79">
        <v>1</v>
      </c>
      <c r="D216" s="79">
        <v>7</v>
      </c>
      <c r="E216" s="79">
        <v>1</v>
      </c>
      <c r="F216" s="79">
        <v>2970500</v>
      </c>
      <c r="G216" s="79">
        <v>6000000</v>
      </c>
      <c r="H216" s="79">
        <v>25000000</v>
      </c>
      <c r="I216" s="79">
        <v>21200576</v>
      </c>
      <c r="J216" s="79">
        <v>0</v>
      </c>
      <c r="K216" s="79">
        <v>0</v>
      </c>
      <c r="L216" s="79">
        <v>5</v>
      </c>
      <c r="M216" s="79">
        <v>6</v>
      </c>
      <c r="N216" s="90">
        <v>9009</v>
      </c>
    </row>
    <row r="217" spans="1:14">
      <c r="A217" s="78">
        <v>1077855133</v>
      </c>
      <c r="B217" s="79">
        <v>0</v>
      </c>
      <c r="C217" s="79">
        <v>0</v>
      </c>
      <c r="D217" s="79">
        <v>0</v>
      </c>
      <c r="E217" s="79">
        <v>0</v>
      </c>
      <c r="F217" s="79">
        <v>0</v>
      </c>
      <c r="G217" s="79">
        <v>0</v>
      </c>
      <c r="H217" s="79">
        <v>0</v>
      </c>
      <c r="I217" s="79">
        <v>0</v>
      </c>
      <c r="J217" s="79">
        <v>0</v>
      </c>
      <c r="K217" s="79">
        <v>0</v>
      </c>
      <c r="L217" s="79">
        <v>0</v>
      </c>
      <c r="M217" s="79">
        <v>0</v>
      </c>
      <c r="N217" s="90">
        <v>9006</v>
      </c>
    </row>
    <row r="218" spans="1:14">
      <c r="A218" s="78">
        <v>1031134500</v>
      </c>
      <c r="B218" s="79">
        <v>47</v>
      </c>
      <c r="C218" s="79">
        <v>5</v>
      </c>
      <c r="D218" s="79">
        <v>7</v>
      </c>
      <c r="E218" s="79">
        <v>5</v>
      </c>
      <c r="F218" s="79">
        <v>8180000</v>
      </c>
      <c r="G218" s="79">
        <v>111500000</v>
      </c>
      <c r="H218" s="79">
        <v>25596527.91</v>
      </c>
      <c r="I218" s="79">
        <v>49990482</v>
      </c>
      <c r="J218" s="79">
        <v>0</v>
      </c>
      <c r="K218" s="79">
        <v>5</v>
      </c>
      <c r="L218" s="79">
        <v>10</v>
      </c>
      <c r="M218" s="79">
        <v>8</v>
      </c>
      <c r="N218" s="90">
        <v>9008</v>
      </c>
    </row>
    <row r="219" spans="1:14">
      <c r="A219" s="78">
        <v>1053833641</v>
      </c>
      <c r="B219" s="79">
        <v>18</v>
      </c>
      <c r="C219" s="79">
        <v>0</v>
      </c>
      <c r="D219" s="79">
        <v>2</v>
      </c>
      <c r="E219" s="79">
        <v>4</v>
      </c>
      <c r="F219" s="79">
        <v>1845000</v>
      </c>
      <c r="G219" s="79">
        <v>50000000</v>
      </c>
      <c r="H219" s="79">
        <v>0</v>
      </c>
      <c r="I219" s="79">
        <v>8183000</v>
      </c>
      <c r="J219" s="79">
        <v>0</v>
      </c>
      <c r="K219" s="79">
        <v>1</v>
      </c>
      <c r="L219" s="79">
        <v>3</v>
      </c>
      <c r="M219" s="79">
        <v>2</v>
      </c>
      <c r="N219" s="90">
        <v>9007</v>
      </c>
    </row>
    <row r="220" spans="1:14">
      <c r="A220" s="78">
        <v>1044422356</v>
      </c>
      <c r="B220" s="79">
        <v>47</v>
      </c>
      <c r="C220" s="79">
        <v>0</v>
      </c>
      <c r="D220" s="79">
        <v>11</v>
      </c>
      <c r="E220" s="79">
        <v>3</v>
      </c>
      <c r="F220" s="79">
        <v>2562500</v>
      </c>
      <c r="G220" s="79">
        <v>27100000</v>
      </c>
      <c r="H220" s="79">
        <v>64000000</v>
      </c>
      <c r="I220" s="79">
        <v>72544070</v>
      </c>
      <c r="J220" s="79">
        <v>0</v>
      </c>
      <c r="K220" s="79">
        <v>2</v>
      </c>
      <c r="L220" s="79">
        <v>5</v>
      </c>
      <c r="M220" s="79">
        <v>8</v>
      </c>
      <c r="N220" s="90">
        <v>9001</v>
      </c>
    </row>
    <row r="221" spans="1:14">
      <c r="A221" s="78">
        <v>29286986</v>
      </c>
      <c r="B221" s="79">
        <v>66</v>
      </c>
      <c r="C221" s="79">
        <v>6</v>
      </c>
      <c r="D221" s="79">
        <v>9</v>
      </c>
      <c r="E221" s="79">
        <v>2</v>
      </c>
      <c r="F221" s="79">
        <v>7955940.666666667</v>
      </c>
      <c r="G221" s="79">
        <v>104820000</v>
      </c>
      <c r="H221" s="79">
        <v>15000000</v>
      </c>
      <c r="I221" s="79">
        <v>110477209</v>
      </c>
      <c r="J221" s="79">
        <v>0</v>
      </c>
      <c r="K221" s="79">
        <v>8</v>
      </c>
      <c r="L221" s="79">
        <v>9</v>
      </c>
      <c r="M221" s="79">
        <v>8</v>
      </c>
      <c r="N221" s="90">
        <v>9001</v>
      </c>
    </row>
    <row r="222" spans="1:14">
      <c r="A222" s="78">
        <v>1098658423</v>
      </c>
      <c r="B222" s="79">
        <v>58</v>
      </c>
      <c r="C222" s="79">
        <v>2</v>
      </c>
      <c r="D222" s="79">
        <v>15</v>
      </c>
      <c r="E222" s="79">
        <v>1</v>
      </c>
      <c r="F222" s="79">
        <v>9738705.5</v>
      </c>
      <c r="G222" s="79">
        <v>98500000</v>
      </c>
      <c r="H222" s="79">
        <v>0</v>
      </c>
      <c r="I222" s="79">
        <v>71434136</v>
      </c>
      <c r="J222" s="79">
        <v>0</v>
      </c>
      <c r="K222" s="79">
        <v>3</v>
      </c>
      <c r="L222" s="79">
        <v>13</v>
      </c>
      <c r="M222" s="79">
        <v>5</v>
      </c>
      <c r="N222" s="90">
        <v>9008</v>
      </c>
    </row>
    <row r="223" spans="1:14">
      <c r="A223" s="78">
        <v>1017187072</v>
      </c>
      <c r="B223" s="79">
        <v>54</v>
      </c>
      <c r="C223" s="79">
        <v>2</v>
      </c>
      <c r="D223" s="79">
        <v>6</v>
      </c>
      <c r="E223" s="79">
        <v>5</v>
      </c>
      <c r="F223" s="79">
        <v>8325000</v>
      </c>
      <c r="G223" s="79">
        <v>56000000</v>
      </c>
      <c r="H223" s="79">
        <v>0</v>
      </c>
      <c r="I223" s="79">
        <v>51598151</v>
      </c>
      <c r="J223" s="79">
        <v>0</v>
      </c>
      <c r="K223" s="79">
        <v>1</v>
      </c>
      <c r="L223" s="79">
        <v>5</v>
      </c>
      <c r="M223" s="79">
        <v>1</v>
      </c>
      <c r="N223" s="90">
        <v>9007</v>
      </c>
    </row>
    <row r="224" spans="1:14">
      <c r="A224" s="78">
        <v>28191995</v>
      </c>
      <c r="B224" s="79">
        <v>50</v>
      </c>
      <c r="C224" s="79">
        <v>3</v>
      </c>
      <c r="D224" s="79">
        <v>10</v>
      </c>
      <c r="E224" s="79">
        <v>8</v>
      </c>
      <c r="F224" s="79">
        <v>7195000</v>
      </c>
      <c r="G224" s="79">
        <v>62500000</v>
      </c>
      <c r="H224" s="79">
        <v>98000000</v>
      </c>
      <c r="I224" s="79">
        <v>62406933</v>
      </c>
      <c r="J224" s="79">
        <v>0</v>
      </c>
      <c r="K224" s="79">
        <v>1</v>
      </c>
      <c r="L224" s="79">
        <v>2</v>
      </c>
      <c r="M224" s="79">
        <v>2</v>
      </c>
      <c r="N224" s="90">
        <v>9001</v>
      </c>
    </row>
    <row r="225" spans="1:14">
      <c r="A225" s="78">
        <v>1019081634</v>
      </c>
      <c r="B225" s="79">
        <v>49</v>
      </c>
      <c r="C225" s="79">
        <v>1</v>
      </c>
      <c r="D225" s="79">
        <v>9</v>
      </c>
      <c r="E225" s="79">
        <v>1</v>
      </c>
      <c r="F225" s="79">
        <v>3075000</v>
      </c>
      <c r="G225" s="79">
        <v>7300000</v>
      </c>
      <c r="H225" s="79">
        <v>0</v>
      </c>
      <c r="I225" s="79">
        <v>17142026</v>
      </c>
      <c r="J225" s="79">
        <v>0</v>
      </c>
      <c r="K225" s="79">
        <v>0</v>
      </c>
      <c r="L225" s="79">
        <v>1</v>
      </c>
      <c r="M225" s="79">
        <v>0</v>
      </c>
      <c r="N225" s="90">
        <v>9009</v>
      </c>
    </row>
    <row r="226" spans="1:14">
      <c r="A226" s="78">
        <v>1100955720</v>
      </c>
      <c r="B226" s="79">
        <v>56</v>
      </c>
      <c r="C226" s="79">
        <v>4</v>
      </c>
      <c r="D226" s="79">
        <v>8</v>
      </c>
      <c r="E226" s="79">
        <v>0</v>
      </c>
      <c r="F226" s="79">
        <v>7995000</v>
      </c>
      <c r="G226" s="79">
        <v>106900000</v>
      </c>
      <c r="H226" s="79">
        <v>13500000</v>
      </c>
      <c r="I226" s="79">
        <v>16267000</v>
      </c>
      <c r="J226" s="79">
        <v>0</v>
      </c>
      <c r="K226" s="79">
        <v>2</v>
      </c>
      <c r="L226" s="79">
        <v>6</v>
      </c>
      <c r="M226" s="79">
        <v>0</v>
      </c>
      <c r="N226" s="90">
        <v>9003</v>
      </c>
    </row>
    <row r="227" spans="1:14">
      <c r="A227" s="78">
        <v>1057544312</v>
      </c>
      <c r="B227" s="79">
        <v>96</v>
      </c>
      <c r="C227" s="79">
        <v>7</v>
      </c>
      <c r="D227" s="79">
        <v>4</v>
      </c>
      <c r="E227" s="79">
        <v>4</v>
      </c>
      <c r="F227" s="79">
        <v>8240000</v>
      </c>
      <c r="G227" s="79">
        <v>129199999.99999999</v>
      </c>
      <c r="H227" s="79">
        <v>0</v>
      </c>
      <c r="I227" s="79">
        <v>45919577</v>
      </c>
      <c r="J227" s="79">
        <v>0</v>
      </c>
      <c r="K227" s="79">
        <v>7</v>
      </c>
      <c r="L227" s="79">
        <v>8</v>
      </c>
      <c r="M227" s="79">
        <v>5</v>
      </c>
      <c r="N227" s="90">
        <v>9006</v>
      </c>
    </row>
    <row r="228" spans="1:14">
      <c r="A228" s="78">
        <v>98482964</v>
      </c>
      <c r="B228" s="79">
        <v>61</v>
      </c>
      <c r="C228" s="79">
        <v>1</v>
      </c>
      <c r="D228" s="79">
        <v>12</v>
      </c>
      <c r="E228" s="79">
        <v>6</v>
      </c>
      <c r="F228" s="79">
        <v>5775500</v>
      </c>
      <c r="G228" s="79">
        <v>47752096.840000004</v>
      </c>
      <c r="H228" s="79">
        <v>28000000</v>
      </c>
      <c r="I228" s="79">
        <v>105980756</v>
      </c>
      <c r="J228" s="79">
        <v>0</v>
      </c>
      <c r="K228" s="79">
        <v>5</v>
      </c>
      <c r="L228" s="79">
        <v>13</v>
      </c>
      <c r="M228" s="79">
        <v>11</v>
      </c>
      <c r="N228" s="90">
        <v>9007</v>
      </c>
    </row>
    <row r="229" spans="1:14">
      <c r="A229" s="78">
        <v>1070752003</v>
      </c>
      <c r="B229" s="79">
        <v>103</v>
      </c>
      <c r="C229" s="79">
        <v>4</v>
      </c>
      <c r="D229" s="79">
        <v>16</v>
      </c>
      <c r="E229" s="79">
        <v>5</v>
      </c>
      <c r="F229" s="79">
        <v>7215000</v>
      </c>
      <c r="G229" s="79">
        <v>58100000</v>
      </c>
      <c r="H229" s="79">
        <v>0</v>
      </c>
      <c r="I229" s="79">
        <v>43516871</v>
      </c>
      <c r="J229" s="79">
        <v>0</v>
      </c>
      <c r="K229" s="79">
        <v>4</v>
      </c>
      <c r="L229" s="79">
        <v>22</v>
      </c>
      <c r="M229" s="79">
        <v>4</v>
      </c>
      <c r="N229" s="90">
        <v>9001</v>
      </c>
    </row>
    <row r="230" spans="1:14">
      <c r="A230" s="78">
        <v>1140816983</v>
      </c>
      <c r="B230" s="79">
        <v>31</v>
      </c>
      <c r="C230" s="79">
        <v>0</v>
      </c>
      <c r="D230" s="79">
        <v>7</v>
      </c>
      <c r="E230" s="79">
        <v>1</v>
      </c>
      <c r="F230" s="79">
        <v>5105000</v>
      </c>
      <c r="G230" s="79">
        <v>30000000</v>
      </c>
      <c r="H230" s="79">
        <v>0</v>
      </c>
      <c r="I230" s="79">
        <v>56168726</v>
      </c>
      <c r="J230" s="79">
        <v>30000000</v>
      </c>
      <c r="K230" s="79">
        <v>1</v>
      </c>
      <c r="L230" s="79">
        <v>7</v>
      </c>
      <c r="M230" s="79">
        <v>1</v>
      </c>
      <c r="N230" s="90">
        <v>9005</v>
      </c>
    </row>
    <row r="231" spans="1:14">
      <c r="A231" s="78">
        <v>1018431873</v>
      </c>
      <c r="B231" s="79">
        <v>37</v>
      </c>
      <c r="C231" s="79">
        <v>0</v>
      </c>
      <c r="D231" s="79">
        <v>5</v>
      </c>
      <c r="E231" s="79">
        <v>2</v>
      </c>
      <c r="F231" s="79">
        <v>5250000</v>
      </c>
      <c r="G231" s="79">
        <v>41200000</v>
      </c>
      <c r="H231" s="79">
        <v>11000000</v>
      </c>
      <c r="I231" s="79">
        <v>74485800</v>
      </c>
      <c r="J231" s="79">
        <v>0</v>
      </c>
      <c r="K231" s="79">
        <v>0</v>
      </c>
      <c r="L231" s="79">
        <v>9</v>
      </c>
      <c r="M231" s="79">
        <v>1</v>
      </c>
      <c r="N231" s="90">
        <v>9006</v>
      </c>
    </row>
    <row r="232" spans="1:14">
      <c r="A232" s="78">
        <v>1144061668</v>
      </c>
      <c r="B232" s="79">
        <v>37</v>
      </c>
      <c r="C232" s="79">
        <v>0</v>
      </c>
      <c r="D232" s="79">
        <v>5</v>
      </c>
      <c r="E232" s="79">
        <v>0</v>
      </c>
      <c r="F232" s="79">
        <v>4120000</v>
      </c>
      <c r="G232" s="79">
        <v>92915000</v>
      </c>
      <c r="H232" s="79">
        <v>88000000</v>
      </c>
      <c r="I232" s="79">
        <v>21407000</v>
      </c>
      <c r="J232" s="79">
        <v>0</v>
      </c>
      <c r="K232" s="79">
        <v>5</v>
      </c>
      <c r="L232" s="79">
        <v>8</v>
      </c>
      <c r="M232" s="79">
        <v>8</v>
      </c>
      <c r="N232" s="90">
        <v>9005</v>
      </c>
    </row>
    <row r="233" spans="1:14">
      <c r="A233" s="78">
        <v>1035852910</v>
      </c>
      <c r="B233" s="79">
        <v>44</v>
      </c>
      <c r="C233" s="79">
        <v>3</v>
      </c>
      <c r="D233" s="79">
        <v>10</v>
      </c>
      <c r="E233" s="79">
        <v>4</v>
      </c>
      <c r="F233" s="79">
        <v>2130209.5</v>
      </c>
      <c r="G233" s="79">
        <v>87300000</v>
      </c>
      <c r="H233" s="79">
        <v>18000000</v>
      </c>
      <c r="I233" s="79">
        <v>78091906</v>
      </c>
      <c r="J233" s="79">
        <v>0</v>
      </c>
      <c r="K233" s="79">
        <v>5</v>
      </c>
      <c r="L233" s="79">
        <v>9</v>
      </c>
      <c r="M233" s="79">
        <v>5</v>
      </c>
      <c r="N233" s="90">
        <v>9008</v>
      </c>
    </row>
    <row r="234" spans="1:14">
      <c r="A234" s="78">
        <v>1020782342</v>
      </c>
      <c r="B234" s="79">
        <v>32</v>
      </c>
      <c r="C234" s="79">
        <v>3</v>
      </c>
      <c r="D234" s="79">
        <v>3</v>
      </c>
      <c r="E234" s="79">
        <v>1</v>
      </c>
      <c r="F234" s="79">
        <v>0</v>
      </c>
      <c r="G234" s="79">
        <v>34200000</v>
      </c>
      <c r="H234" s="79">
        <v>68000000</v>
      </c>
      <c r="I234" s="79">
        <v>29193213</v>
      </c>
      <c r="J234" s="79">
        <v>0</v>
      </c>
      <c r="K234" s="79">
        <v>0</v>
      </c>
      <c r="L234" s="79">
        <v>6</v>
      </c>
      <c r="M234" s="79">
        <v>0</v>
      </c>
      <c r="N234" s="90">
        <v>9008</v>
      </c>
    </row>
    <row r="235" spans="1:14">
      <c r="A235" s="78">
        <v>1053778051</v>
      </c>
      <c r="B235" s="79">
        <v>71</v>
      </c>
      <c r="C235" s="79">
        <v>4</v>
      </c>
      <c r="D235" s="79">
        <v>12</v>
      </c>
      <c r="E235" s="79">
        <v>2</v>
      </c>
      <c r="F235" s="79">
        <v>7757166.666666667</v>
      </c>
      <c r="G235" s="79">
        <v>87400000</v>
      </c>
      <c r="H235" s="79">
        <v>10000000</v>
      </c>
      <c r="I235" s="79">
        <v>134119000</v>
      </c>
      <c r="J235" s="79">
        <v>0</v>
      </c>
      <c r="K235" s="79">
        <v>10</v>
      </c>
      <c r="L235" s="79">
        <v>12</v>
      </c>
      <c r="M235" s="79">
        <v>11</v>
      </c>
      <c r="N235" s="90">
        <v>9002</v>
      </c>
    </row>
    <row r="236" spans="1:14">
      <c r="A236" s="78">
        <v>1085255108</v>
      </c>
      <c r="B236" s="79">
        <v>46</v>
      </c>
      <c r="C236" s="79">
        <v>3</v>
      </c>
      <c r="D236" s="79">
        <v>11</v>
      </c>
      <c r="E236" s="79">
        <v>0</v>
      </c>
      <c r="F236" s="79">
        <v>4920000</v>
      </c>
      <c r="G236" s="79">
        <v>119437897.89000002</v>
      </c>
      <c r="H236" s="79">
        <v>87000000</v>
      </c>
      <c r="I236" s="79">
        <v>53460000</v>
      </c>
      <c r="J236" s="79">
        <v>0</v>
      </c>
      <c r="K236" s="79">
        <v>6</v>
      </c>
      <c r="L236" s="79">
        <v>5</v>
      </c>
      <c r="M236" s="79">
        <v>9</v>
      </c>
      <c r="N236" s="90">
        <v>9001</v>
      </c>
    </row>
    <row r="237" spans="1:14">
      <c r="A237" s="78">
        <v>1094924323</v>
      </c>
      <c r="B237" s="79">
        <v>71</v>
      </c>
      <c r="C237" s="79">
        <v>4</v>
      </c>
      <c r="D237" s="79">
        <v>12</v>
      </c>
      <c r="E237" s="79">
        <v>4</v>
      </c>
      <c r="F237" s="79">
        <v>7625000</v>
      </c>
      <c r="G237" s="79">
        <v>99500000</v>
      </c>
      <c r="H237" s="79">
        <v>36449367.149999999</v>
      </c>
      <c r="I237" s="79">
        <v>36102000</v>
      </c>
      <c r="J237" s="79">
        <v>0</v>
      </c>
      <c r="K237" s="79">
        <v>3</v>
      </c>
      <c r="L237" s="79">
        <v>10</v>
      </c>
      <c r="M237" s="79">
        <v>7</v>
      </c>
      <c r="N237" s="90">
        <v>9001</v>
      </c>
    </row>
    <row r="238" spans="1:14">
      <c r="A238" s="78">
        <v>1098665338</v>
      </c>
      <c r="B238" s="79">
        <v>66</v>
      </c>
      <c r="C238" s="79">
        <v>5</v>
      </c>
      <c r="D238" s="79">
        <v>13</v>
      </c>
      <c r="E238" s="79">
        <v>7</v>
      </c>
      <c r="F238" s="79">
        <v>10395000</v>
      </c>
      <c r="G238" s="79">
        <v>29689920</v>
      </c>
      <c r="H238" s="79">
        <v>0</v>
      </c>
      <c r="I238" s="79">
        <v>136581245</v>
      </c>
      <c r="J238" s="79">
        <v>0</v>
      </c>
      <c r="K238" s="79">
        <v>0</v>
      </c>
      <c r="L238" s="79">
        <v>6</v>
      </c>
      <c r="M238" s="79">
        <v>2</v>
      </c>
      <c r="N238" s="90">
        <v>9008</v>
      </c>
    </row>
    <row r="239" spans="1:14">
      <c r="A239" s="78">
        <v>63255194</v>
      </c>
      <c r="B239" s="79">
        <v>63</v>
      </c>
      <c r="C239" s="79">
        <v>1</v>
      </c>
      <c r="D239" s="79">
        <v>14</v>
      </c>
      <c r="E239" s="79">
        <v>4</v>
      </c>
      <c r="F239" s="79">
        <v>430000</v>
      </c>
      <c r="G239" s="79">
        <v>5000000</v>
      </c>
      <c r="H239" s="79">
        <v>25000000</v>
      </c>
      <c r="I239" s="79">
        <v>54783710</v>
      </c>
      <c r="J239" s="79">
        <v>0</v>
      </c>
      <c r="K239" s="79">
        <v>1</v>
      </c>
      <c r="L239" s="79">
        <v>2</v>
      </c>
      <c r="M239" s="79">
        <v>0</v>
      </c>
      <c r="N239" s="90">
        <v>9001</v>
      </c>
    </row>
    <row r="240" spans="1:14">
      <c r="A240" s="78">
        <v>1024546322</v>
      </c>
      <c r="B240" s="79">
        <v>62</v>
      </c>
      <c r="C240" s="79">
        <v>3</v>
      </c>
      <c r="D240" s="79">
        <v>5</v>
      </c>
      <c r="E240" s="79">
        <v>0</v>
      </c>
      <c r="F240" s="79">
        <v>3260000</v>
      </c>
      <c r="G240" s="79">
        <v>76400000</v>
      </c>
      <c r="H240" s="79">
        <v>0</v>
      </c>
      <c r="I240" s="79">
        <v>47599774</v>
      </c>
      <c r="J240" s="79">
        <v>0</v>
      </c>
      <c r="K240" s="79">
        <v>0</v>
      </c>
      <c r="L240" s="79">
        <v>5</v>
      </c>
      <c r="M240" s="79">
        <v>7</v>
      </c>
      <c r="N240" s="90">
        <v>9004</v>
      </c>
    </row>
    <row r="241" spans="1:14">
      <c r="A241" s="78">
        <v>1076201127</v>
      </c>
      <c r="B241" s="79">
        <v>64</v>
      </c>
      <c r="C241" s="79">
        <v>10</v>
      </c>
      <c r="D241" s="79">
        <v>3</v>
      </c>
      <c r="E241" s="79">
        <v>6</v>
      </c>
      <c r="F241" s="79">
        <v>1845000</v>
      </c>
      <c r="G241" s="79">
        <v>16100000.000000002</v>
      </c>
      <c r="H241" s="79">
        <v>0</v>
      </c>
      <c r="I241" s="79">
        <v>88698052</v>
      </c>
      <c r="J241" s="79">
        <v>0</v>
      </c>
      <c r="K241" s="79">
        <v>0</v>
      </c>
      <c r="L241" s="79">
        <v>1</v>
      </c>
      <c r="M241" s="79">
        <v>0</v>
      </c>
      <c r="N241" s="90">
        <v>9005</v>
      </c>
    </row>
    <row r="242" spans="1:14">
      <c r="A242" s="78">
        <v>52906413</v>
      </c>
      <c r="B242" s="79">
        <v>81</v>
      </c>
      <c r="C242" s="79">
        <v>5</v>
      </c>
      <c r="D242" s="79">
        <v>14</v>
      </c>
      <c r="E242" s="79">
        <v>2</v>
      </c>
      <c r="F242" s="79">
        <v>9635672.5</v>
      </c>
      <c r="G242" s="79">
        <v>50500000</v>
      </c>
      <c r="H242" s="79">
        <v>0</v>
      </c>
      <c r="I242" s="79">
        <v>55835760</v>
      </c>
      <c r="J242" s="79">
        <v>0</v>
      </c>
      <c r="K242" s="79">
        <v>3</v>
      </c>
      <c r="L242" s="79">
        <v>9</v>
      </c>
      <c r="M242" s="79">
        <v>9</v>
      </c>
      <c r="N242" s="90">
        <v>9003</v>
      </c>
    </row>
    <row r="243" spans="1:14">
      <c r="A243" s="78">
        <v>63539151</v>
      </c>
      <c r="B243" s="79">
        <v>17</v>
      </c>
      <c r="C243" s="79">
        <v>2</v>
      </c>
      <c r="D243" s="79">
        <v>4</v>
      </c>
      <c r="E243" s="79">
        <v>3</v>
      </c>
      <c r="F243" s="79">
        <v>-267984</v>
      </c>
      <c r="G243" s="79">
        <v>0</v>
      </c>
      <c r="H243" s="79">
        <v>0</v>
      </c>
      <c r="I243" s="79">
        <v>8562000</v>
      </c>
      <c r="J243" s="79">
        <v>0</v>
      </c>
      <c r="K243" s="79">
        <v>0</v>
      </c>
      <c r="L243" s="79">
        <v>0</v>
      </c>
      <c r="M243" s="79">
        <v>0</v>
      </c>
      <c r="N243" s="90">
        <v>9008</v>
      </c>
    </row>
    <row r="244" spans="1:14">
      <c r="A244" s="78">
        <v>1022943576</v>
      </c>
      <c r="B244" s="79">
        <v>88</v>
      </c>
      <c r="C244" s="79">
        <v>6</v>
      </c>
      <c r="D244" s="79">
        <v>12</v>
      </c>
      <c r="E244" s="79">
        <v>9</v>
      </c>
      <c r="F244" s="79">
        <v>7380000</v>
      </c>
      <c r="G244" s="79">
        <v>141000000</v>
      </c>
      <c r="H244" s="79">
        <v>31000000</v>
      </c>
      <c r="I244" s="79">
        <v>98229000</v>
      </c>
      <c r="J244" s="79">
        <v>0</v>
      </c>
      <c r="K244" s="79">
        <v>1</v>
      </c>
      <c r="L244" s="79">
        <v>0</v>
      </c>
      <c r="M244" s="79">
        <v>0</v>
      </c>
      <c r="N244" s="90">
        <v>9004</v>
      </c>
    </row>
    <row r="245" spans="1:14">
      <c r="A245" s="78">
        <v>52542928</v>
      </c>
      <c r="B245" s="79">
        <v>50</v>
      </c>
      <c r="C245" s="79">
        <v>11</v>
      </c>
      <c r="D245" s="79">
        <v>10</v>
      </c>
      <c r="E245" s="79">
        <v>1</v>
      </c>
      <c r="F245" s="79">
        <v>3398500</v>
      </c>
      <c r="G245" s="79">
        <v>26200000</v>
      </c>
      <c r="H245" s="79">
        <v>0</v>
      </c>
      <c r="I245" s="79">
        <v>43492300</v>
      </c>
      <c r="J245" s="79">
        <v>0</v>
      </c>
      <c r="K245" s="79">
        <v>2</v>
      </c>
      <c r="L245" s="79">
        <v>7</v>
      </c>
      <c r="M245" s="79">
        <v>4</v>
      </c>
      <c r="N245" s="90">
        <v>9004</v>
      </c>
    </row>
    <row r="246" spans="1:14">
      <c r="A246" s="78">
        <v>1110530481</v>
      </c>
      <c r="B246" s="79">
        <v>100</v>
      </c>
      <c r="C246" s="79">
        <v>4</v>
      </c>
      <c r="D246" s="79">
        <v>7</v>
      </c>
      <c r="E246" s="79">
        <v>3</v>
      </c>
      <c r="F246" s="79">
        <v>4305000</v>
      </c>
      <c r="G246" s="79">
        <v>86000000</v>
      </c>
      <c r="H246" s="79">
        <v>43550000</v>
      </c>
      <c r="I246" s="79">
        <v>69405400</v>
      </c>
      <c r="J246" s="79">
        <v>0</v>
      </c>
      <c r="K246" s="79">
        <v>2</v>
      </c>
      <c r="L246" s="79">
        <v>4</v>
      </c>
      <c r="M246" s="79">
        <v>1</v>
      </c>
      <c r="N246" s="90">
        <v>9008</v>
      </c>
    </row>
    <row r="247" spans="1:14">
      <c r="A247" s="78">
        <v>1018488900</v>
      </c>
      <c r="B247" s="79">
        <v>178</v>
      </c>
      <c r="C247" s="79">
        <v>3</v>
      </c>
      <c r="D247" s="79">
        <v>9</v>
      </c>
      <c r="E247" s="79">
        <v>0</v>
      </c>
      <c r="F247" s="79">
        <v>2460000</v>
      </c>
      <c r="G247" s="79">
        <v>66230000.000000007</v>
      </c>
      <c r="H247" s="79">
        <v>47000000</v>
      </c>
      <c r="I247" s="79">
        <v>12006502</v>
      </c>
      <c r="J247" s="79">
        <v>0</v>
      </c>
      <c r="K247" s="79">
        <v>0</v>
      </c>
      <c r="L247" s="79">
        <v>5</v>
      </c>
      <c r="M247" s="79">
        <v>1</v>
      </c>
      <c r="N247" s="90">
        <v>9008</v>
      </c>
    </row>
    <row r="248" spans="1:14">
      <c r="A248" s="78">
        <v>1098674803</v>
      </c>
      <c r="B248" s="79">
        <v>95</v>
      </c>
      <c r="C248" s="79">
        <v>3</v>
      </c>
      <c r="D248" s="79">
        <v>1</v>
      </c>
      <c r="E248" s="79">
        <v>0</v>
      </c>
      <c r="F248" s="79">
        <v>1230000</v>
      </c>
      <c r="G248" s="79">
        <v>50000000</v>
      </c>
      <c r="H248" s="79">
        <v>0</v>
      </c>
      <c r="I248" s="79">
        <v>69675000</v>
      </c>
      <c r="J248" s="79">
        <v>0</v>
      </c>
      <c r="K248" s="79">
        <v>0</v>
      </c>
      <c r="L248" s="79">
        <v>10</v>
      </c>
      <c r="M248" s="79">
        <v>1</v>
      </c>
      <c r="N248" s="90">
        <v>9006</v>
      </c>
    </row>
    <row r="249" spans="1:14">
      <c r="A249" s="78">
        <v>1018491895</v>
      </c>
      <c r="B249" s="79">
        <v>61</v>
      </c>
      <c r="C249" s="79">
        <v>0</v>
      </c>
      <c r="D249" s="79">
        <v>5</v>
      </c>
      <c r="E249" s="79">
        <v>0</v>
      </c>
      <c r="F249" s="79">
        <v>0</v>
      </c>
      <c r="G249" s="79">
        <v>40300000</v>
      </c>
      <c r="H249" s="79">
        <v>0</v>
      </c>
      <c r="I249" s="79">
        <v>32677000</v>
      </c>
      <c r="J249" s="79">
        <v>0</v>
      </c>
      <c r="K249" s="79">
        <v>1</v>
      </c>
      <c r="L249" s="79">
        <v>4</v>
      </c>
      <c r="M249" s="79">
        <v>6</v>
      </c>
      <c r="N249" s="90">
        <v>9005</v>
      </c>
    </row>
    <row r="250" spans="1:14">
      <c r="A250" s="78">
        <v>1095935246</v>
      </c>
      <c r="B250" s="79">
        <v>55</v>
      </c>
      <c r="C250" s="79">
        <v>2</v>
      </c>
      <c r="D250" s="79">
        <v>12</v>
      </c>
      <c r="E250" s="79">
        <v>0</v>
      </c>
      <c r="F250" s="79">
        <v>1660000</v>
      </c>
      <c r="G250" s="79">
        <v>37000000</v>
      </c>
      <c r="H250" s="79">
        <v>0</v>
      </c>
      <c r="I250" s="79">
        <v>19683510</v>
      </c>
      <c r="J250" s="79">
        <v>0</v>
      </c>
      <c r="K250" s="79">
        <v>6</v>
      </c>
      <c r="L250" s="79">
        <v>19</v>
      </c>
      <c r="M250" s="79">
        <v>8</v>
      </c>
      <c r="N250" s="90">
        <v>9007</v>
      </c>
    </row>
    <row r="251" spans="1:14">
      <c r="A251" s="78">
        <v>1018500858</v>
      </c>
      <c r="B251" s="79">
        <v>53</v>
      </c>
      <c r="C251" s="79">
        <v>4</v>
      </c>
      <c r="D251" s="79">
        <v>8</v>
      </c>
      <c r="E251" s="79">
        <v>3</v>
      </c>
      <c r="F251" s="79">
        <v>3320000</v>
      </c>
      <c r="G251" s="79">
        <v>37300000</v>
      </c>
      <c r="H251" s="79">
        <v>0</v>
      </c>
      <c r="I251" s="79">
        <v>63027896</v>
      </c>
      <c r="J251" s="79">
        <v>0</v>
      </c>
      <c r="K251" s="79">
        <v>2</v>
      </c>
      <c r="L251" s="79">
        <v>9</v>
      </c>
      <c r="M251" s="79">
        <v>4</v>
      </c>
      <c r="N251" s="90">
        <v>9001</v>
      </c>
    </row>
    <row r="252" spans="1:14">
      <c r="A252" s="78">
        <v>1121918685</v>
      </c>
      <c r="B252" s="79">
        <v>100</v>
      </c>
      <c r="C252" s="79">
        <v>0</v>
      </c>
      <c r="D252" s="79">
        <v>8</v>
      </c>
      <c r="E252" s="79">
        <v>2</v>
      </c>
      <c r="F252" s="79">
        <v>7750000</v>
      </c>
      <c r="G252" s="79">
        <v>86400000</v>
      </c>
      <c r="H252" s="79">
        <v>0</v>
      </c>
      <c r="I252" s="79">
        <v>109120445</v>
      </c>
      <c r="J252" s="79">
        <v>0</v>
      </c>
      <c r="K252" s="79">
        <v>5</v>
      </c>
      <c r="L252" s="79">
        <v>8</v>
      </c>
      <c r="M252" s="79">
        <v>5</v>
      </c>
      <c r="N252" s="90">
        <v>9007</v>
      </c>
    </row>
    <row r="253" spans="1:14">
      <c r="A253" s="78">
        <v>1090447613</v>
      </c>
      <c r="B253" s="79">
        <v>93</v>
      </c>
      <c r="C253" s="79">
        <v>2</v>
      </c>
      <c r="D253" s="79">
        <v>12</v>
      </c>
      <c r="E253" s="79">
        <v>2</v>
      </c>
      <c r="F253" s="79">
        <v>7195000</v>
      </c>
      <c r="G253" s="79">
        <v>108160000</v>
      </c>
      <c r="H253" s="79">
        <v>0</v>
      </c>
      <c r="I253" s="79">
        <v>138178244</v>
      </c>
      <c r="J253" s="79">
        <v>0</v>
      </c>
      <c r="K253" s="79">
        <v>15</v>
      </c>
      <c r="L253" s="79">
        <v>29</v>
      </c>
      <c r="M253" s="79">
        <v>26</v>
      </c>
      <c r="N253" s="90">
        <v>9004</v>
      </c>
    </row>
    <row r="254" spans="1:14">
      <c r="A254" s="78">
        <v>37002376</v>
      </c>
      <c r="B254" s="79">
        <v>301</v>
      </c>
      <c r="C254" s="79">
        <v>33</v>
      </c>
      <c r="D254" s="79">
        <v>5</v>
      </c>
      <c r="E254" s="79">
        <v>0</v>
      </c>
      <c r="F254" s="79">
        <v>3690000</v>
      </c>
      <c r="G254" s="79">
        <v>39900000</v>
      </c>
      <c r="H254" s="79">
        <v>0</v>
      </c>
      <c r="I254" s="79">
        <v>16424000</v>
      </c>
      <c r="J254" s="79">
        <v>0</v>
      </c>
      <c r="K254" s="79">
        <v>1</v>
      </c>
      <c r="L254" s="79">
        <v>4</v>
      </c>
      <c r="M254" s="79">
        <v>5</v>
      </c>
      <c r="N254" s="90">
        <v>9004</v>
      </c>
    </row>
    <row r="255" spans="1:14">
      <c r="A255" s="78">
        <v>41915400</v>
      </c>
      <c r="B255" s="79">
        <v>81</v>
      </c>
      <c r="C255" s="79">
        <v>5</v>
      </c>
      <c r="D255" s="79">
        <v>9</v>
      </c>
      <c r="E255" s="79">
        <v>6</v>
      </c>
      <c r="F255" s="79">
        <v>7380000</v>
      </c>
      <c r="G255" s="79">
        <v>160770000</v>
      </c>
      <c r="H255" s="79">
        <v>0</v>
      </c>
      <c r="I255" s="79">
        <v>87977200</v>
      </c>
      <c r="J255" s="79">
        <v>0</v>
      </c>
      <c r="K255" s="79">
        <v>3</v>
      </c>
      <c r="L255" s="79">
        <v>2</v>
      </c>
      <c r="M255" s="79">
        <v>4</v>
      </c>
      <c r="N255" s="90">
        <v>9004</v>
      </c>
    </row>
    <row r="256" spans="1:14">
      <c r="A256" s="78">
        <v>1017214837</v>
      </c>
      <c r="B256" s="79">
        <v>20</v>
      </c>
      <c r="C256" s="79">
        <v>2</v>
      </c>
      <c r="D256" s="79">
        <v>5</v>
      </c>
      <c r="E256" s="79">
        <v>10</v>
      </c>
      <c r="F256" s="79">
        <v>11656750</v>
      </c>
      <c r="G256" s="79">
        <v>107200000</v>
      </c>
      <c r="H256" s="79">
        <v>11144474.059999999</v>
      </c>
      <c r="I256" s="79">
        <v>75785075</v>
      </c>
      <c r="J256" s="79">
        <v>0</v>
      </c>
      <c r="K256" s="79">
        <v>5</v>
      </c>
      <c r="L256" s="79">
        <v>8</v>
      </c>
      <c r="M256" s="79">
        <v>8</v>
      </c>
      <c r="N256" s="90">
        <v>9002</v>
      </c>
    </row>
    <row r="257" spans="1:14">
      <c r="A257" s="78">
        <v>1012392841</v>
      </c>
      <c r="B257" s="79">
        <v>64</v>
      </c>
      <c r="C257" s="79">
        <v>2</v>
      </c>
      <c r="D257" s="79">
        <v>5</v>
      </c>
      <c r="E257" s="79">
        <v>2</v>
      </c>
      <c r="F257" s="79">
        <v>4037500</v>
      </c>
      <c r="G257" s="79">
        <v>16000000</v>
      </c>
      <c r="H257" s="79">
        <v>0</v>
      </c>
      <c r="I257" s="79">
        <v>36173786</v>
      </c>
      <c r="J257" s="79">
        <v>0</v>
      </c>
      <c r="K257" s="79">
        <v>0</v>
      </c>
      <c r="L257" s="79">
        <v>11</v>
      </c>
      <c r="M257" s="79">
        <v>1</v>
      </c>
      <c r="N257" s="90">
        <v>9009</v>
      </c>
    </row>
    <row r="258" spans="1:14">
      <c r="A258" s="78">
        <v>8055804</v>
      </c>
      <c r="B258" s="79">
        <v>32</v>
      </c>
      <c r="C258" s="79">
        <v>4</v>
      </c>
      <c r="D258" s="79">
        <v>9</v>
      </c>
      <c r="E258" s="79">
        <v>6</v>
      </c>
      <c r="F258" s="79">
        <v>8933333.3333333321</v>
      </c>
      <c r="G258" s="79">
        <v>57700000</v>
      </c>
      <c r="H258" s="79">
        <v>0</v>
      </c>
      <c r="I258" s="79">
        <v>48632451</v>
      </c>
      <c r="J258" s="79">
        <v>0</v>
      </c>
      <c r="K258" s="79">
        <v>7</v>
      </c>
      <c r="L258" s="79">
        <v>9</v>
      </c>
      <c r="M258" s="79">
        <v>10</v>
      </c>
      <c r="N258" s="90">
        <v>9004</v>
      </c>
    </row>
    <row r="259" spans="1:14">
      <c r="A259" s="78">
        <v>1233890202</v>
      </c>
      <c r="B259" s="79">
        <v>62</v>
      </c>
      <c r="C259" s="79">
        <v>6</v>
      </c>
      <c r="D259" s="79">
        <v>2</v>
      </c>
      <c r="E259" s="79">
        <v>1</v>
      </c>
      <c r="F259" s="79">
        <v>4675000</v>
      </c>
      <c r="G259" s="79">
        <v>36900000</v>
      </c>
      <c r="H259" s="79">
        <v>0</v>
      </c>
      <c r="I259" s="79">
        <v>500000</v>
      </c>
      <c r="J259" s="79">
        <v>0</v>
      </c>
      <c r="K259" s="79">
        <v>3</v>
      </c>
      <c r="L259" s="79">
        <v>14</v>
      </c>
      <c r="M259" s="79">
        <v>9</v>
      </c>
      <c r="N259" s="90">
        <v>9007</v>
      </c>
    </row>
    <row r="260" spans="1:14">
      <c r="A260" s="78">
        <v>51799085</v>
      </c>
      <c r="B260" s="79">
        <v>48</v>
      </c>
      <c r="C260" s="79">
        <v>5</v>
      </c>
      <c r="D260" s="79">
        <v>6</v>
      </c>
      <c r="E260" s="79">
        <v>14</v>
      </c>
      <c r="F260" s="79">
        <v>7810000</v>
      </c>
      <c r="G260" s="79">
        <v>44700000</v>
      </c>
      <c r="H260" s="79">
        <v>81601600.280000001</v>
      </c>
      <c r="I260" s="79">
        <v>64505164</v>
      </c>
      <c r="J260" s="79">
        <v>0</v>
      </c>
      <c r="K260" s="79">
        <v>1</v>
      </c>
      <c r="L260" s="79">
        <v>9</v>
      </c>
      <c r="M260" s="79">
        <v>5</v>
      </c>
      <c r="N260" s="90">
        <v>9007</v>
      </c>
    </row>
    <row r="261" spans="1:14">
      <c r="A261" s="78">
        <v>1033784452</v>
      </c>
      <c r="B261" s="79">
        <v>46</v>
      </c>
      <c r="C261" s="79">
        <v>3</v>
      </c>
      <c r="D261" s="79">
        <v>13</v>
      </c>
      <c r="E261" s="79">
        <v>1</v>
      </c>
      <c r="F261" s="79">
        <v>6891816.75</v>
      </c>
      <c r="G261" s="79">
        <v>69300000</v>
      </c>
      <c r="H261" s="79">
        <v>40000000</v>
      </c>
      <c r="I261" s="79">
        <v>27413000</v>
      </c>
      <c r="J261" s="79">
        <v>0</v>
      </c>
      <c r="K261" s="79">
        <v>13</v>
      </c>
      <c r="L261" s="79">
        <v>16</v>
      </c>
      <c r="M261" s="79">
        <v>12</v>
      </c>
      <c r="N261" s="90">
        <v>9003</v>
      </c>
    </row>
    <row r="262" spans="1:14">
      <c r="A262" s="78">
        <v>1030552786</v>
      </c>
      <c r="B262" s="79">
        <v>37</v>
      </c>
      <c r="C262" s="79">
        <v>1</v>
      </c>
      <c r="D262" s="79">
        <v>3</v>
      </c>
      <c r="E262" s="79">
        <v>3</v>
      </c>
      <c r="F262" s="79">
        <v>5424223.5</v>
      </c>
      <c r="G262" s="79">
        <v>12000000</v>
      </c>
      <c r="H262" s="79">
        <v>111244442.39</v>
      </c>
      <c r="I262" s="79">
        <v>37230000</v>
      </c>
      <c r="J262" s="79">
        <v>0</v>
      </c>
      <c r="K262" s="79">
        <v>0</v>
      </c>
      <c r="L262" s="79">
        <v>2</v>
      </c>
      <c r="M262" s="79">
        <v>6</v>
      </c>
      <c r="N262" s="90">
        <v>9009</v>
      </c>
    </row>
    <row r="263" spans="1:14">
      <c r="A263" s="78">
        <v>1140846801</v>
      </c>
      <c r="B263" s="79">
        <v>25</v>
      </c>
      <c r="C263" s="79">
        <v>0</v>
      </c>
      <c r="D263" s="79">
        <v>2</v>
      </c>
      <c r="E263" s="79">
        <v>1</v>
      </c>
      <c r="F263" s="79">
        <v>1230000</v>
      </c>
      <c r="G263" s="79">
        <v>38000000</v>
      </c>
      <c r="H263" s="79">
        <v>0</v>
      </c>
      <c r="I263" s="79">
        <v>5682232</v>
      </c>
      <c r="J263" s="79">
        <v>0</v>
      </c>
      <c r="K263" s="79">
        <v>2</v>
      </c>
      <c r="L263" s="79">
        <v>3</v>
      </c>
      <c r="M263" s="79">
        <v>0</v>
      </c>
      <c r="N263" s="90">
        <v>9003</v>
      </c>
    </row>
    <row r="264" spans="1:14">
      <c r="A264" s="78">
        <v>1032404165</v>
      </c>
      <c r="B264" s="79">
        <v>46</v>
      </c>
      <c r="C264" s="79">
        <v>4</v>
      </c>
      <c r="D264" s="79">
        <v>14</v>
      </c>
      <c r="E264" s="79">
        <v>2</v>
      </c>
      <c r="F264" s="79">
        <v>1881000</v>
      </c>
      <c r="G264" s="79">
        <v>79800000</v>
      </c>
      <c r="H264" s="79">
        <v>0</v>
      </c>
      <c r="I264" s="79">
        <v>13270000</v>
      </c>
      <c r="J264" s="79">
        <v>0</v>
      </c>
      <c r="K264" s="79">
        <v>8</v>
      </c>
      <c r="L264" s="79">
        <v>10</v>
      </c>
      <c r="M264" s="79">
        <v>7</v>
      </c>
      <c r="N264" s="90">
        <v>9002</v>
      </c>
    </row>
    <row r="265" spans="1:14">
      <c r="A265" s="78">
        <v>1214715191</v>
      </c>
      <c r="B265" s="79">
        <v>47</v>
      </c>
      <c r="C265" s="79">
        <v>4</v>
      </c>
      <c r="D265" s="79">
        <v>12</v>
      </c>
      <c r="E265" s="79">
        <v>5</v>
      </c>
      <c r="F265" s="79">
        <v>3177500</v>
      </c>
      <c r="G265" s="79">
        <v>86200000</v>
      </c>
      <c r="H265" s="79">
        <v>14000000</v>
      </c>
      <c r="I265" s="79">
        <v>83902064</v>
      </c>
      <c r="J265" s="79">
        <v>0</v>
      </c>
      <c r="K265" s="79">
        <v>1</v>
      </c>
      <c r="L265" s="79">
        <v>5</v>
      </c>
      <c r="M265" s="79">
        <v>3</v>
      </c>
      <c r="N265" s="90">
        <v>9007</v>
      </c>
    </row>
    <row r="266" spans="1:14">
      <c r="A266" s="78">
        <v>1016032693</v>
      </c>
      <c r="B266" s="79">
        <v>21</v>
      </c>
      <c r="C266" s="79">
        <v>0</v>
      </c>
      <c r="D266" s="79">
        <v>2</v>
      </c>
      <c r="E266" s="79">
        <v>5</v>
      </c>
      <c r="F266" s="79">
        <v>1415000</v>
      </c>
      <c r="G266" s="79">
        <v>6000000</v>
      </c>
      <c r="H266" s="79">
        <v>0</v>
      </c>
      <c r="I266" s="79">
        <v>8347700</v>
      </c>
      <c r="J266" s="79">
        <v>0</v>
      </c>
      <c r="K266" s="79">
        <v>2</v>
      </c>
      <c r="L266" s="79">
        <v>1</v>
      </c>
      <c r="M266" s="79">
        <v>4</v>
      </c>
      <c r="N266" s="90">
        <v>9001</v>
      </c>
    </row>
    <row r="267" spans="1:14">
      <c r="A267" s="78">
        <v>24049457</v>
      </c>
      <c r="B267" s="79">
        <v>91</v>
      </c>
      <c r="C267" s="79">
        <v>3</v>
      </c>
      <c r="D267" s="79">
        <v>14</v>
      </c>
      <c r="E267" s="79">
        <v>5</v>
      </c>
      <c r="F267" s="79">
        <v>5720000</v>
      </c>
      <c r="G267" s="79">
        <v>49000000</v>
      </c>
      <c r="H267" s="79">
        <v>0</v>
      </c>
      <c r="I267" s="79">
        <v>118356436</v>
      </c>
      <c r="J267" s="79">
        <v>0</v>
      </c>
      <c r="K267" s="79">
        <v>2</v>
      </c>
      <c r="L267" s="79">
        <v>2</v>
      </c>
      <c r="M267" s="79">
        <v>2</v>
      </c>
      <c r="N267" s="90">
        <v>9008</v>
      </c>
    </row>
    <row r="268" spans="1:14">
      <c r="A268" s="78">
        <v>1022421705</v>
      </c>
      <c r="B268" s="79">
        <v>41</v>
      </c>
      <c r="C268" s="79">
        <v>2</v>
      </c>
      <c r="D268" s="79">
        <v>9</v>
      </c>
      <c r="E268" s="79">
        <v>2</v>
      </c>
      <c r="F268" s="79">
        <v>4550000</v>
      </c>
      <c r="G268" s="79">
        <v>25500000</v>
      </c>
      <c r="H268" s="79">
        <v>0</v>
      </c>
      <c r="I268" s="79">
        <v>44553077</v>
      </c>
      <c r="J268" s="79">
        <v>0</v>
      </c>
      <c r="K268" s="79">
        <v>0</v>
      </c>
      <c r="L268" s="79">
        <v>5</v>
      </c>
      <c r="M268" s="79">
        <v>0</v>
      </c>
      <c r="N268" s="90">
        <v>9001</v>
      </c>
    </row>
    <row r="269" spans="1:14">
      <c r="A269" s="78">
        <v>1140856648</v>
      </c>
      <c r="B269" s="79">
        <v>39</v>
      </c>
      <c r="C269" s="79">
        <v>1</v>
      </c>
      <c r="D269" s="79">
        <v>3</v>
      </c>
      <c r="E269" s="79">
        <v>0</v>
      </c>
      <c r="F269" s="79">
        <v>2460000</v>
      </c>
      <c r="G269" s="79">
        <v>54700000</v>
      </c>
      <c r="H269" s="79">
        <v>0</v>
      </c>
      <c r="I269" s="79">
        <v>74676467</v>
      </c>
      <c r="J269" s="79">
        <v>0</v>
      </c>
      <c r="K269" s="79">
        <v>1</v>
      </c>
      <c r="L269" s="79">
        <v>1</v>
      </c>
      <c r="M269" s="79">
        <v>8</v>
      </c>
      <c r="N269" s="90">
        <v>9003</v>
      </c>
    </row>
    <row r="270" spans="1:14">
      <c r="A270" s="78">
        <v>52518082</v>
      </c>
      <c r="B270" s="79">
        <v>49</v>
      </c>
      <c r="C270" s="79">
        <v>6</v>
      </c>
      <c r="D270" s="79">
        <v>12</v>
      </c>
      <c r="E270" s="79">
        <v>2</v>
      </c>
      <c r="F270" s="79">
        <v>5535000</v>
      </c>
      <c r="G270" s="79">
        <v>79100000</v>
      </c>
      <c r="H270" s="79">
        <v>5706083.2699999996</v>
      </c>
      <c r="I270" s="79">
        <v>58880774</v>
      </c>
      <c r="J270" s="79">
        <v>0</v>
      </c>
      <c r="K270" s="79">
        <v>3</v>
      </c>
      <c r="L270" s="79">
        <v>11</v>
      </c>
      <c r="M270" s="79">
        <v>5</v>
      </c>
      <c r="N270" s="90">
        <v>9004</v>
      </c>
    </row>
    <row r="271" spans="1:14">
      <c r="A271" s="78">
        <v>1015401018</v>
      </c>
      <c r="B271" s="79">
        <v>56</v>
      </c>
      <c r="C271" s="79">
        <v>2</v>
      </c>
      <c r="D271" s="79">
        <v>8</v>
      </c>
      <c r="E271" s="79">
        <v>2</v>
      </c>
      <c r="F271" s="79">
        <v>9655000</v>
      </c>
      <c r="G271" s="79">
        <v>27616401.98</v>
      </c>
      <c r="H271" s="79">
        <v>0</v>
      </c>
      <c r="I271" s="79">
        <v>37694000</v>
      </c>
      <c r="J271" s="79">
        <v>0</v>
      </c>
      <c r="K271" s="79">
        <v>5</v>
      </c>
      <c r="L271" s="79">
        <v>7</v>
      </c>
      <c r="M271" s="79">
        <v>3</v>
      </c>
      <c r="N271" s="90">
        <v>9009</v>
      </c>
    </row>
    <row r="272" spans="1:14">
      <c r="A272" s="78">
        <v>1026134714</v>
      </c>
      <c r="B272" s="79">
        <v>20</v>
      </c>
      <c r="C272" s="79">
        <v>2</v>
      </c>
      <c r="D272" s="79">
        <v>12</v>
      </c>
      <c r="E272" s="79">
        <v>0</v>
      </c>
      <c r="F272" s="79">
        <v>6355000</v>
      </c>
      <c r="G272" s="79">
        <v>87158913</v>
      </c>
      <c r="H272" s="79">
        <v>0</v>
      </c>
      <c r="I272" s="79">
        <v>133045202</v>
      </c>
      <c r="J272" s="79">
        <v>0</v>
      </c>
      <c r="K272" s="79">
        <v>1</v>
      </c>
      <c r="L272" s="79">
        <v>2</v>
      </c>
      <c r="M272" s="79">
        <v>1</v>
      </c>
      <c r="N272" s="90">
        <v>9006</v>
      </c>
    </row>
    <row r="273" spans="1:14">
      <c r="A273" s="78">
        <v>1026285669</v>
      </c>
      <c r="B273" s="79">
        <v>46</v>
      </c>
      <c r="C273" s="79">
        <v>1</v>
      </c>
      <c r="D273" s="79">
        <v>1</v>
      </c>
      <c r="E273" s="79">
        <v>0</v>
      </c>
      <c r="F273" s="79">
        <v>0</v>
      </c>
      <c r="G273" s="79">
        <v>0</v>
      </c>
      <c r="H273" s="79">
        <v>0</v>
      </c>
      <c r="I273" s="79">
        <v>815000</v>
      </c>
      <c r="J273" s="79">
        <v>0</v>
      </c>
      <c r="K273" s="79">
        <v>0</v>
      </c>
      <c r="L273" s="79">
        <v>0</v>
      </c>
      <c r="M273" s="79">
        <v>0</v>
      </c>
      <c r="N273" s="90">
        <v>9007</v>
      </c>
    </row>
    <row r="274" spans="1:14">
      <c r="A274" s="78">
        <v>1098760868</v>
      </c>
      <c r="B274" s="79">
        <v>52</v>
      </c>
      <c r="C274" s="79">
        <v>4</v>
      </c>
      <c r="D274" s="79">
        <v>1</v>
      </c>
      <c r="E274" s="79">
        <v>1</v>
      </c>
      <c r="F274" s="79">
        <v>5308000</v>
      </c>
      <c r="G274" s="79">
        <v>5000000</v>
      </c>
      <c r="H274" s="79">
        <v>0</v>
      </c>
      <c r="I274" s="79">
        <v>26298770</v>
      </c>
      <c r="J274" s="79">
        <v>0</v>
      </c>
      <c r="K274" s="79">
        <v>2</v>
      </c>
      <c r="L274" s="79">
        <v>6</v>
      </c>
      <c r="M274" s="79">
        <v>2</v>
      </c>
      <c r="N274" s="90">
        <v>9004</v>
      </c>
    </row>
    <row r="275" spans="1:14">
      <c r="A275" s="78">
        <v>1022381175</v>
      </c>
      <c r="B275" s="79">
        <v>29</v>
      </c>
      <c r="C275" s="79">
        <v>3</v>
      </c>
      <c r="D275" s="79">
        <v>6</v>
      </c>
      <c r="E275" s="79">
        <v>3</v>
      </c>
      <c r="F275" s="79">
        <v>672754</v>
      </c>
      <c r="G275" s="79">
        <v>0</v>
      </c>
      <c r="H275" s="79">
        <v>0</v>
      </c>
      <c r="I275" s="79">
        <v>40221000</v>
      </c>
      <c r="J275" s="79">
        <v>0</v>
      </c>
      <c r="K275" s="79">
        <v>0</v>
      </c>
      <c r="L275" s="79">
        <v>1</v>
      </c>
      <c r="M275" s="79">
        <v>3</v>
      </c>
      <c r="N275" s="90">
        <v>9001</v>
      </c>
    </row>
    <row r="276" spans="1:14">
      <c r="A276" s="78">
        <v>20932597</v>
      </c>
      <c r="B276" s="79">
        <v>39</v>
      </c>
      <c r="C276" s="79">
        <v>3</v>
      </c>
      <c r="D276" s="79">
        <v>11</v>
      </c>
      <c r="E276" s="79">
        <v>6</v>
      </c>
      <c r="F276" s="79">
        <v>2460000</v>
      </c>
      <c r="G276" s="79">
        <v>50000000</v>
      </c>
      <c r="H276" s="79">
        <v>0</v>
      </c>
      <c r="I276" s="79">
        <v>104794715</v>
      </c>
      <c r="J276" s="79">
        <v>0</v>
      </c>
      <c r="K276" s="79">
        <v>0</v>
      </c>
      <c r="L276" s="79">
        <v>3</v>
      </c>
      <c r="M276" s="79">
        <v>1</v>
      </c>
      <c r="N276" s="90">
        <v>9007</v>
      </c>
    </row>
    <row r="277" spans="1:14">
      <c r="A277" s="78">
        <v>1015415335</v>
      </c>
      <c r="B277" s="79">
        <v>71</v>
      </c>
      <c r="C277" s="79">
        <v>4</v>
      </c>
      <c r="D277" s="79">
        <v>12</v>
      </c>
      <c r="E277" s="79">
        <v>4</v>
      </c>
      <c r="F277" s="79">
        <v>7810000</v>
      </c>
      <c r="G277" s="79">
        <v>19000000</v>
      </c>
      <c r="H277" s="79">
        <v>0</v>
      </c>
      <c r="I277" s="79">
        <v>37855918</v>
      </c>
      <c r="J277" s="79">
        <v>0</v>
      </c>
      <c r="K277" s="79">
        <v>1</v>
      </c>
      <c r="L277" s="79">
        <v>4</v>
      </c>
      <c r="M277" s="79">
        <v>3</v>
      </c>
      <c r="N277" s="90">
        <v>9003</v>
      </c>
    </row>
    <row r="278" spans="1:14">
      <c r="A278" s="78">
        <v>45489129</v>
      </c>
      <c r="B278" s="79">
        <v>66</v>
      </c>
      <c r="C278" s="79">
        <v>2</v>
      </c>
      <c r="D278" s="79">
        <v>6</v>
      </c>
      <c r="E278" s="79">
        <v>1</v>
      </c>
      <c r="F278" s="79">
        <v>3423387</v>
      </c>
      <c r="G278" s="79">
        <v>40000000</v>
      </c>
      <c r="H278" s="79">
        <v>35000000</v>
      </c>
      <c r="I278" s="79">
        <v>34018514</v>
      </c>
      <c r="J278" s="79">
        <v>0</v>
      </c>
      <c r="K278" s="79">
        <v>1</v>
      </c>
      <c r="L278" s="79">
        <v>10</v>
      </c>
      <c r="M278" s="79">
        <v>2</v>
      </c>
      <c r="N278" s="90">
        <v>9008</v>
      </c>
    </row>
    <row r="279" spans="1:14">
      <c r="A279" s="78">
        <v>1061727834</v>
      </c>
      <c r="B279" s="79">
        <v>298</v>
      </c>
      <c r="C279" s="79">
        <v>6</v>
      </c>
      <c r="D279" s="79">
        <v>5</v>
      </c>
      <c r="E279" s="79">
        <v>2</v>
      </c>
      <c r="F279" s="79">
        <v>11093000</v>
      </c>
      <c r="G279" s="79">
        <v>207403257.42000002</v>
      </c>
      <c r="H279" s="79">
        <v>9622761.4100000001</v>
      </c>
      <c r="I279" s="79">
        <v>62326262</v>
      </c>
      <c r="J279" s="79">
        <v>0</v>
      </c>
      <c r="K279" s="79">
        <v>6</v>
      </c>
      <c r="L279" s="79">
        <v>12</v>
      </c>
      <c r="M279" s="79">
        <v>10</v>
      </c>
      <c r="N279" s="90">
        <v>9009</v>
      </c>
    </row>
    <row r="280" spans="1:14">
      <c r="A280" s="78">
        <v>98771814</v>
      </c>
      <c r="B280" s="79">
        <v>58</v>
      </c>
      <c r="C280" s="79">
        <v>1</v>
      </c>
      <c r="D280" s="79">
        <v>4</v>
      </c>
      <c r="E280" s="79">
        <v>1</v>
      </c>
      <c r="F280" s="79">
        <v>12022258.333333334</v>
      </c>
      <c r="G280" s="79">
        <v>51405740</v>
      </c>
      <c r="H280" s="79">
        <v>0</v>
      </c>
      <c r="I280" s="79">
        <v>77665000</v>
      </c>
      <c r="J280" s="79">
        <v>0</v>
      </c>
      <c r="K280" s="79">
        <v>7</v>
      </c>
      <c r="L280" s="79">
        <v>7</v>
      </c>
      <c r="M280" s="79">
        <v>9</v>
      </c>
      <c r="N280" s="90">
        <v>9001</v>
      </c>
    </row>
    <row r="281" spans="1:14">
      <c r="A281" s="78">
        <v>1022350929</v>
      </c>
      <c r="B281" s="79">
        <v>50</v>
      </c>
      <c r="C281" s="79">
        <v>5</v>
      </c>
      <c r="D281" s="79">
        <v>8</v>
      </c>
      <c r="E281" s="79">
        <v>4</v>
      </c>
      <c r="F281" s="79">
        <v>5105000</v>
      </c>
      <c r="G281" s="79">
        <v>92879282.99000001</v>
      </c>
      <c r="H281" s="79">
        <v>0</v>
      </c>
      <c r="I281" s="79">
        <v>31781003</v>
      </c>
      <c r="J281" s="79">
        <v>0</v>
      </c>
      <c r="K281" s="79">
        <v>4</v>
      </c>
      <c r="L281" s="79">
        <v>9</v>
      </c>
      <c r="M281" s="79">
        <v>7</v>
      </c>
      <c r="N281" s="90">
        <v>9009</v>
      </c>
    </row>
    <row r="282" spans="1:14">
      <c r="A282" s="78">
        <v>1024552869</v>
      </c>
      <c r="B282" s="79">
        <v>46</v>
      </c>
      <c r="C282" s="79">
        <v>4</v>
      </c>
      <c r="D282" s="79">
        <v>12</v>
      </c>
      <c r="E282" s="79">
        <v>2</v>
      </c>
      <c r="F282" s="79">
        <v>6520000</v>
      </c>
      <c r="G282" s="79">
        <v>65616843.899999991</v>
      </c>
      <c r="H282" s="79">
        <v>22516863.990000002</v>
      </c>
      <c r="I282" s="79">
        <v>117094327</v>
      </c>
      <c r="J282" s="79">
        <v>0</v>
      </c>
      <c r="K282" s="79">
        <v>0</v>
      </c>
      <c r="L282" s="79">
        <v>5</v>
      </c>
      <c r="M282" s="79">
        <v>2</v>
      </c>
      <c r="N282" s="90">
        <v>9005</v>
      </c>
    </row>
    <row r="283" spans="1:14">
      <c r="A283" s="78">
        <v>1214714414</v>
      </c>
      <c r="B283" s="79">
        <v>33</v>
      </c>
      <c r="C283" s="79">
        <v>2</v>
      </c>
      <c r="D283" s="79">
        <v>20</v>
      </c>
      <c r="E283" s="79">
        <v>8</v>
      </c>
      <c r="F283" s="79">
        <v>7189000</v>
      </c>
      <c r="G283" s="79">
        <v>123809896.90000001</v>
      </c>
      <c r="H283" s="79">
        <v>5000000</v>
      </c>
      <c r="I283" s="79">
        <v>93989000</v>
      </c>
      <c r="J283" s="79">
        <v>0</v>
      </c>
      <c r="K283" s="79">
        <v>4</v>
      </c>
      <c r="L283" s="79">
        <v>4</v>
      </c>
      <c r="M283" s="79">
        <v>9</v>
      </c>
      <c r="N283" s="90">
        <v>9007</v>
      </c>
    </row>
    <row r="284" spans="1:14">
      <c r="A284" s="78">
        <v>1030565519</v>
      </c>
      <c r="B284" s="79">
        <v>31</v>
      </c>
      <c r="C284" s="79">
        <v>8</v>
      </c>
      <c r="D284" s="79">
        <v>11</v>
      </c>
      <c r="E284" s="79">
        <v>6</v>
      </c>
      <c r="F284" s="79">
        <v>2277716.5</v>
      </c>
      <c r="G284" s="79">
        <v>57600000</v>
      </c>
      <c r="H284" s="79">
        <v>73623215.329999998</v>
      </c>
      <c r="I284" s="79">
        <v>139480889</v>
      </c>
      <c r="J284" s="79">
        <v>0</v>
      </c>
      <c r="K284" s="79">
        <v>0</v>
      </c>
      <c r="L284" s="79">
        <v>8</v>
      </c>
      <c r="M284" s="79">
        <v>4</v>
      </c>
      <c r="N284" s="90">
        <v>9007</v>
      </c>
    </row>
    <row r="285" spans="1:14">
      <c r="A285" s="78">
        <v>29126952</v>
      </c>
      <c r="B285" s="79">
        <v>47</v>
      </c>
      <c r="C285" s="79">
        <v>4</v>
      </c>
      <c r="D285" s="79">
        <v>16</v>
      </c>
      <c r="E285" s="79">
        <v>7</v>
      </c>
      <c r="F285" s="79">
        <v>8240000</v>
      </c>
      <c r="G285" s="79">
        <v>86000000</v>
      </c>
      <c r="H285" s="79">
        <v>0</v>
      </c>
      <c r="I285" s="79">
        <v>55735109</v>
      </c>
      <c r="J285" s="79">
        <v>0</v>
      </c>
      <c r="K285" s="79">
        <v>5</v>
      </c>
      <c r="L285" s="79">
        <v>14</v>
      </c>
      <c r="M285" s="79">
        <v>11</v>
      </c>
      <c r="N285" s="90">
        <v>9005</v>
      </c>
    </row>
    <row r="286" spans="1:14">
      <c r="A286" s="78">
        <v>45766371</v>
      </c>
      <c r="B286" s="79">
        <v>23</v>
      </c>
      <c r="C286" s="79">
        <v>1</v>
      </c>
      <c r="D286" s="79">
        <v>3</v>
      </c>
      <c r="E286" s="79">
        <v>3</v>
      </c>
      <c r="F286" s="79">
        <v>3690000</v>
      </c>
      <c r="G286" s="79">
        <v>11200000</v>
      </c>
      <c r="H286" s="79">
        <v>0</v>
      </c>
      <c r="I286" s="79">
        <v>16072000</v>
      </c>
      <c r="J286" s="79">
        <v>0</v>
      </c>
      <c r="K286" s="79">
        <v>1</v>
      </c>
      <c r="L286" s="79">
        <v>4</v>
      </c>
      <c r="M286" s="79">
        <v>7</v>
      </c>
      <c r="N286" s="90">
        <v>9002</v>
      </c>
    </row>
    <row r="287" spans="1:14">
      <c r="A287" s="78">
        <v>1018468257</v>
      </c>
      <c r="B287" s="79">
        <v>43</v>
      </c>
      <c r="C287" s="79">
        <v>3</v>
      </c>
      <c r="D287" s="79">
        <v>7</v>
      </c>
      <c r="E287" s="79">
        <v>1</v>
      </c>
      <c r="F287" s="79">
        <v>1230000</v>
      </c>
      <c r="G287" s="79">
        <v>65900000.000000007</v>
      </c>
      <c r="H287" s="79">
        <v>0</v>
      </c>
      <c r="I287" s="79">
        <v>17607292</v>
      </c>
      <c r="J287" s="79">
        <v>0</v>
      </c>
      <c r="K287" s="79">
        <v>0</v>
      </c>
      <c r="L287" s="79">
        <v>0</v>
      </c>
      <c r="M287" s="79">
        <v>0</v>
      </c>
      <c r="N287" s="90">
        <v>9007</v>
      </c>
    </row>
    <row r="288" spans="1:14">
      <c r="A288" s="78">
        <v>57464859</v>
      </c>
      <c r="B288" s="79">
        <v>71</v>
      </c>
      <c r="C288" s="79">
        <v>5</v>
      </c>
      <c r="D288" s="79">
        <v>13</v>
      </c>
      <c r="E288" s="79">
        <v>0</v>
      </c>
      <c r="F288" s="79">
        <v>7010000</v>
      </c>
      <c r="G288" s="79">
        <v>78000000</v>
      </c>
      <c r="H288" s="79">
        <v>0</v>
      </c>
      <c r="I288" s="79">
        <v>19688051</v>
      </c>
      <c r="J288" s="79">
        <v>0</v>
      </c>
      <c r="K288" s="79">
        <v>4</v>
      </c>
      <c r="L288" s="79">
        <v>6</v>
      </c>
      <c r="M288" s="79">
        <v>12</v>
      </c>
      <c r="N288" s="90">
        <v>9003</v>
      </c>
    </row>
    <row r="289" spans="1:14">
      <c r="A289" s="78">
        <v>38213008</v>
      </c>
      <c r="B289" s="79">
        <v>104</v>
      </c>
      <c r="C289" s="79">
        <v>7</v>
      </c>
      <c r="D289" s="79">
        <v>9</v>
      </c>
      <c r="E289" s="79">
        <v>0</v>
      </c>
      <c r="F289" s="79">
        <v>5965000</v>
      </c>
      <c r="G289" s="79">
        <v>84250000</v>
      </c>
      <c r="H289" s="79">
        <v>0</v>
      </c>
      <c r="I289" s="79">
        <v>33904049</v>
      </c>
      <c r="J289" s="79">
        <v>0</v>
      </c>
      <c r="K289" s="79">
        <v>5</v>
      </c>
      <c r="L289" s="79">
        <v>10</v>
      </c>
      <c r="M289" s="79">
        <v>11</v>
      </c>
      <c r="N289" s="90">
        <v>9002</v>
      </c>
    </row>
    <row r="290" spans="1:14">
      <c r="A290" s="78">
        <v>32298599</v>
      </c>
      <c r="B290" s="79">
        <v>45</v>
      </c>
      <c r="C290" s="79">
        <v>1</v>
      </c>
      <c r="D290" s="79">
        <v>3</v>
      </c>
      <c r="E290" s="79">
        <v>2</v>
      </c>
      <c r="F290" s="79">
        <v>6553411.583333334</v>
      </c>
      <c r="G290" s="79">
        <v>0</v>
      </c>
      <c r="H290" s="79">
        <v>0</v>
      </c>
      <c r="I290" s="79">
        <v>111454600</v>
      </c>
      <c r="J290" s="79">
        <v>0</v>
      </c>
      <c r="K290" s="79">
        <v>6</v>
      </c>
      <c r="L290" s="79">
        <v>9</v>
      </c>
      <c r="M290" s="79">
        <v>11</v>
      </c>
      <c r="N290" s="90">
        <v>9007</v>
      </c>
    </row>
    <row r="291" spans="1:14">
      <c r="A291" s="78">
        <v>98696279</v>
      </c>
      <c r="B291" s="79">
        <v>43</v>
      </c>
      <c r="C291" s="79">
        <v>2</v>
      </c>
      <c r="D291" s="79">
        <v>12</v>
      </c>
      <c r="E291" s="79">
        <v>4</v>
      </c>
      <c r="F291" s="79">
        <v>9034000</v>
      </c>
      <c r="G291" s="79">
        <v>195760000</v>
      </c>
      <c r="H291" s="79">
        <v>0</v>
      </c>
      <c r="I291" s="79">
        <v>99865792</v>
      </c>
      <c r="J291" s="79">
        <v>0</v>
      </c>
      <c r="K291" s="79">
        <v>5</v>
      </c>
      <c r="L291" s="79">
        <v>7</v>
      </c>
      <c r="M291" s="79">
        <v>9</v>
      </c>
      <c r="N291" s="90">
        <v>9004</v>
      </c>
    </row>
    <row r="292" spans="1:14">
      <c r="A292" s="78">
        <v>14135841</v>
      </c>
      <c r="B292" s="79">
        <v>86</v>
      </c>
      <c r="C292" s="79">
        <v>7</v>
      </c>
      <c r="D292" s="79">
        <v>16</v>
      </c>
      <c r="E292" s="79">
        <v>3</v>
      </c>
      <c r="F292" s="79">
        <v>11315000</v>
      </c>
      <c r="G292" s="79">
        <v>181915144.17000002</v>
      </c>
      <c r="H292" s="79">
        <v>0</v>
      </c>
      <c r="I292" s="79">
        <v>71676000</v>
      </c>
      <c r="J292" s="79">
        <v>0</v>
      </c>
      <c r="K292" s="79">
        <v>9</v>
      </c>
      <c r="L292" s="79">
        <v>24</v>
      </c>
      <c r="M292" s="79">
        <v>11</v>
      </c>
      <c r="N292" s="90">
        <v>9006</v>
      </c>
    </row>
    <row r="293" spans="1:14">
      <c r="A293" s="78">
        <v>1024468109</v>
      </c>
      <c r="B293" s="79">
        <v>85</v>
      </c>
      <c r="C293" s="79">
        <v>4</v>
      </c>
      <c r="D293" s="79">
        <v>6</v>
      </c>
      <c r="E293" s="79">
        <v>3</v>
      </c>
      <c r="F293" s="79">
        <v>7886000</v>
      </c>
      <c r="G293" s="79">
        <v>48500000</v>
      </c>
      <c r="H293" s="79">
        <v>20000000</v>
      </c>
      <c r="I293" s="79">
        <v>66004275</v>
      </c>
      <c r="J293" s="79">
        <v>0</v>
      </c>
      <c r="K293" s="79">
        <v>0</v>
      </c>
      <c r="L293" s="79">
        <v>13</v>
      </c>
      <c r="M293" s="79">
        <v>8</v>
      </c>
      <c r="N293" s="90">
        <v>9001</v>
      </c>
    </row>
    <row r="294" spans="1:14">
      <c r="A294" s="78">
        <v>10782685</v>
      </c>
      <c r="B294" s="79">
        <v>72</v>
      </c>
      <c r="C294" s="79">
        <v>1</v>
      </c>
      <c r="D294" s="79">
        <v>6</v>
      </c>
      <c r="E294" s="79">
        <v>3</v>
      </c>
      <c r="F294" s="79">
        <v>633000</v>
      </c>
      <c r="G294" s="79">
        <v>6700000</v>
      </c>
      <c r="H294" s="79">
        <v>1814466.8600000003</v>
      </c>
      <c r="I294" s="79">
        <v>2106027</v>
      </c>
      <c r="J294" s="79">
        <v>0</v>
      </c>
      <c r="K294" s="79">
        <v>1</v>
      </c>
      <c r="L294" s="79">
        <v>1</v>
      </c>
      <c r="M294" s="79">
        <v>8</v>
      </c>
      <c r="N294" s="90">
        <v>9004</v>
      </c>
    </row>
    <row r="295" spans="1:14">
      <c r="A295" s="78">
        <v>1014265444</v>
      </c>
      <c r="B295" s="79">
        <v>85</v>
      </c>
      <c r="C295" s="79">
        <v>5</v>
      </c>
      <c r="D295" s="79">
        <v>10</v>
      </c>
      <c r="E295" s="79">
        <v>0</v>
      </c>
      <c r="F295" s="79">
        <v>185000</v>
      </c>
      <c r="G295" s="79">
        <v>30500000</v>
      </c>
      <c r="H295" s="79">
        <v>0</v>
      </c>
      <c r="I295" s="79">
        <v>44868400</v>
      </c>
      <c r="J295" s="79">
        <v>0</v>
      </c>
      <c r="K295" s="79">
        <v>0</v>
      </c>
      <c r="L295" s="79">
        <v>2</v>
      </c>
      <c r="M295" s="79">
        <v>1</v>
      </c>
      <c r="N295" s="90">
        <v>9001</v>
      </c>
    </row>
    <row r="296" spans="1:14">
      <c r="A296" s="78">
        <v>1019011320</v>
      </c>
      <c r="B296" s="79">
        <v>111</v>
      </c>
      <c r="C296" s="79">
        <v>6</v>
      </c>
      <c r="D296" s="79">
        <v>12</v>
      </c>
      <c r="E296" s="79">
        <v>7</v>
      </c>
      <c r="F296" s="79">
        <v>6150000</v>
      </c>
      <c r="G296" s="79">
        <v>78500000</v>
      </c>
      <c r="H296" s="79">
        <v>0</v>
      </c>
      <c r="I296" s="79">
        <v>69398646</v>
      </c>
      <c r="J296" s="79">
        <v>0</v>
      </c>
      <c r="K296" s="79">
        <v>3</v>
      </c>
      <c r="L296" s="79">
        <v>14</v>
      </c>
      <c r="M296" s="79">
        <v>5</v>
      </c>
      <c r="N296" s="90">
        <v>9007</v>
      </c>
    </row>
    <row r="297" spans="1:14">
      <c r="A297" s="78">
        <v>45647324</v>
      </c>
      <c r="B297" s="79">
        <v>41</v>
      </c>
      <c r="C297" s="79">
        <v>0</v>
      </c>
      <c r="D297" s="79">
        <v>6</v>
      </c>
      <c r="E297" s="79">
        <v>4</v>
      </c>
      <c r="F297" s="79">
        <v>4218205.5</v>
      </c>
      <c r="G297" s="79">
        <v>55000000</v>
      </c>
      <c r="H297" s="79">
        <v>0</v>
      </c>
      <c r="I297" s="79">
        <v>73974000</v>
      </c>
      <c r="J297" s="79">
        <v>0</v>
      </c>
      <c r="K297" s="79">
        <v>2</v>
      </c>
      <c r="L297" s="79">
        <v>9</v>
      </c>
      <c r="M297" s="79">
        <v>6</v>
      </c>
      <c r="N297" s="90">
        <v>9001</v>
      </c>
    </row>
    <row r="298" spans="1:14">
      <c r="A298" s="78">
        <v>1023950498</v>
      </c>
      <c r="B298" s="79">
        <v>88</v>
      </c>
      <c r="C298" s="79">
        <v>4</v>
      </c>
      <c r="D298" s="79">
        <v>10</v>
      </c>
      <c r="E298" s="79">
        <v>3</v>
      </c>
      <c r="F298" s="79">
        <v>3135000</v>
      </c>
      <c r="G298" s="79">
        <v>70000000</v>
      </c>
      <c r="H298" s="79">
        <v>6500000</v>
      </c>
      <c r="I298" s="79">
        <v>35179000</v>
      </c>
      <c r="J298" s="79">
        <v>0</v>
      </c>
      <c r="K298" s="79">
        <v>2</v>
      </c>
      <c r="L298" s="79">
        <v>11</v>
      </c>
      <c r="M298" s="79">
        <v>1</v>
      </c>
      <c r="N298" s="90">
        <v>9006</v>
      </c>
    </row>
    <row r="299" spans="1:14">
      <c r="A299" s="78">
        <v>16452335</v>
      </c>
      <c r="B299" s="79">
        <v>55</v>
      </c>
      <c r="C299" s="79">
        <v>2</v>
      </c>
      <c r="D299" s="79">
        <v>13</v>
      </c>
      <c r="E299" s="79">
        <v>5</v>
      </c>
      <c r="F299" s="79">
        <v>11184238.25</v>
      </c>
      <c r="G299" s="79">
        <v>141000000</v>
      </c>
      <c r="H299" s="79">
        <v>0</v>
      </c>
      <c r="I299" s="79">
        <v>76895423</v>
      </c>
      <c r="J299" s="79">
        <v>0</v>
      </c>
      <c r="K299" s="79">
        <v>12</v>
      </c>
      <c r="L299" s="79">
        <v>18</v>
      </c>
      <c r="M299" s="79">
        <v>22</v>
      </c>
      <c r="N299" s="90">
        <v>9009</v>
      </c>
    </row>
    <row r="300" spans="1:14">
      <c r="A300" s="78">
        <v>1070005061</v>
      </c>
      <c r="B300" s="79">
        <v>20</v>
      </c>
      <c r="C300" s="79">
        <v>0</v>
      </c>
      <c r="D300" s="79">
        <v>8</v>
      </c>
      <c r="E300" s="79">
        <v>2</v>
      </c>
      <c r="F300" s="79">
        <v>8610000</v>
      </c>
      <c r="G300" s="79">
        <v>42600000</v>
      </c>
      <c r="H300" s="79">
        <v>0</v>
      </c>
      <c r="I300" s="79">
        <v>17842500</v>
      </c>
      <c r="J300" s="79">
        <v>0</v>
      </c>
      <c r="K300" s="79">
        <v>5</v>
      </c>
      <c r="L300" s="79">
        <v>7</v>
      </c>
      <c r="M300" s="79">
        <v>11</v>
      </c>
      <c r="N300" s="90">
        <v>9001</v>
      </c>
    </row>
    <row r="301" spans="1:14">
      <c r="A301" s="78">
        <v>1024586012</v>
      </c>
      <c r="B301" s="79">
        <v>67</v>
      </c>
      <c r="C301" s="79">
        <v>1</v>
      </c>
      <c r="D301" s="79">
        <v>2</v>
      </c>
      <c r="E301" s="79">
        <v>1</v>
      </c>
      <c r="F301" s="79">
        <v>0</v>
      </c>
      <c r="G301" s="79">
        <v>0</v>
      </c>
      <c r="H301" s="79">
        <v>0</v>
      </c>
      <c r="I301" s="79">
        <v>20103477</v>
      </c>
      <c r="J301" s="79">
        <v>0</v>
      </c>
      <c r="K301" s="79">
        <v>0</v>
      </c>
      <c r="L301" s="79">
        <v>8</v>
      </c>
      <c r="M301" s="79">
        <v>0</v>
      </c>
      <c r="N301" s="90">
        <v>9002</v>
      </c>
    </row>
    <row r="302" spans="1:14">
      <c r="A302" s="78">
        <v>1019079199</v>
      </c>
      <c r="B302" s="79">
        <v>67</v>
      </c>
      <c r="C302" s="79">
        <v>1</v>
      </c>
      <c r="D302" s="79">
        <v>7</v>
      </c>
      <c r="E302" s="79">
        <v>1</v>
      </c>
      <c r="F302" s="79">
        <v>4425134.666666666</v>
      </c>
      <c r="G302" s="79">
        <v>53600000</v>
      </c>
      <c r="H302" s="79">
        <v>0</v>
      </c>
      <c r="I302" s="79">
        <v>123674814</v>
      </c>
      <c r="J302" s="79">
        <v>0</v>
      </c>
      <c r="K302" s="79">
        <v>2</v>
      </c>
      <c r="L302" s="79">
        <v>5</v>
      </c>
      <c r="M302" s="79">
        <v>6</v>
      </c>
      <c r="N302" s="90">
        <v>9003</v>
      </c>
    </row>
    <row r="303" spans="1:14">
      <c r="A303" s="78">
        <v>8356403</v>
      </c>
      <c r="B303" s="79">
        <v>14</v>
      </c>
      <c r="C303" s="79">
        <v>1</v>
      </c>
      <c r="D303" s="79">
        <v>7</v>
      </c>
      <c r="E303" s="79">
        <v>1</v>
      </c>
      <c r="F303" s="79">
        <v>9997492.666666666</v>
      </c>
      <c r="G303" s="79">
        <v>75800000</v>
      </c>
      <c r="H303" s="79">
        <v>0</v>
      </c>
      <c r="I303" s="79">
        <v>87831618</v>
      </c>
      <c r="J303" s="79">
        <v>0</v>
      </c>
      <c r="K303" s="79">
        <v>5</v>
      </c>
      <c r="L303" s="79">
        <v>17</v>
      </c>
      <c r="M303" s="79">
        <v>11</v>
      </c>
      <c r="N303" s="90">
        <v>9002</v>
      </c>
    </row>
    <row r="304" spans="1:14">
      <c r="A304" s="78">
        <v>1013596375</v>
      </c>
      <c r="B304" s="79">
        <v>0</v>
      </c>
      <c r="C304" s="79">
        <v>0</v>
      </c>
      <c r="D304" s="79">
        <v>0</v>
      </c>
      <c r="E304" s="79">
        <v>1</v>
      </c>
      <c r="F304" s="79">
        <v>0</v>
      </c>
      <c r="G304" s="79">
        <v>0</v>
      </c>
      <c r="H304" s="79">
        <v>0</v>
      </c>
      <c r="I304" s="79">
        <v>0</v>
      </c>
      <c r="J304" s="79">
        <v>0</v>
      </c>
      <c r="K304" s="79">
        <v>0</v>
      </c>
      <c r="L304" s="79">
        <v>0</v>
      </c>
      <c r="M304" s="79">
        <v>0</v>
      </c>
      <c r="N304" s="90">
        <v>9002</v>
      </c>
    </row>
    <row r="305" spans="1:14">
      <c r="A305" s="78">
        <v>66776912</v>
      </c>
      <c r="B305" s="79">
        <v>91</v>
      </c>
      <c r="C305" s="79">
        <v>11</v>
      </c>
      <c r="D305" s="79">
        <v>7</v>
      </c>
      <c r="E305" s="79">
        <v>0</v>
      </c>
      <c r="F305" s="79">
        <v>2830000</v>
      </c>
      <c r="G305" s="79">
        <v>93400000</v>
      </c>
      <c r="H305" s="79">
        <v>88000000</v>
      </c>
      <c r="I305" s="79">
        <v>63287345</v>
      </c>
      <c r="J305" s="79">
        <v>0</v>
      </c>
      <c r="K305" s="79">
        <v>5</v>
      </c>
      <c r="L305" s="79">
        <v>9</v>
      </c>
      <c r="M305" s="79">
        <v>12</v>
      </c>
      <c r="N305" s="90">
        <v>9004</v>
      </c>
    </row>
    <row r="306" spans="1:14">
      <c r="A306" s="78">
        <v>30775465</v>
      </c>
      <c r="B306" s="79">
        <v>78</v>
      </c>
      <c r="C306" s="79">
        <v>4</v>
      </c>
      <c r="D306" s="79">
        <v>12</v>
      </c>
      <c r="E306" s="79">
        <v>1</v>
      </c>
      <c r="F306" s="79">
        <v>3750000</v>
      </c>
      <c r="G306" s="79">
        <v>32500000</v>
      </c>
      <c r="H306" s="79">
        <v>0</v>
      </c>
      <c r="I306" s="79">
        <v>7351700</v>
      </c>
      <c r="J306" s="79">
        <v>0</v>
      </c>
      <c r="K306" s="79">
        <v>1</v>
      </c>
      <c r="L306" s="79">
        <v>12</v>
      </c>
      <c r="M306" s="79">
        <v>18</v>
      </c>
      <c r="N306" s="90">
        <v>9001</v>
      </c>
    </row>
    <row r="307" spans="1:14">
      <c r="A307" s="78">
        <v>1071549297</v>
      </c>
      <c r="B307" s="79">
        <v>61</v>
      </c>
      <c r="C307" s="79">
        <v>3</v>
      </c>
      <c r="D307" s="79">
        <v>10</v>
      </c>
      <c r="E307" s="79">
        <v>9</v>
      </c>
      <c r="F307" s="79">
        <v>615000</v>
      </c>
      <c r="G307" s="79">
        <v>62614999.999999993</v>
      </c>
      <c r="H307" s="79">
        <v>0</v>
      </c>
      <c r="I307" s="79">
        <v>103209749</v>
      </c>
      <c r="J307" s="79">
        <v>0</v>
      </c>
      <c r="K307" s="79">
        <v>1</v>
      </c>
      <c r="L307" s="79">
        <v>7</v>
      </c>
      <c r="M307" s="79">
        <v>4</v>
      </c>
      <c r="N307" s="90">
        <v>9006</v>
      </c>
    </row>
    <row r="308" spans="1:14">
      <c r="A308" s="78">
        <v>1033718896</v>
      </c>
      <c r="B308" s="79">
        <v>34</v>
      </c>
      <c r="C308" s="79">
        <v>2</v>
      </c>
      <c r="D308" s="79">
        <v>8</v>
      </c>
      <c r="E308" s="79">
        <v>0</v>
      </c>
      <c r="F308" s="79">
        <v>2663000</v>
      </c>
      <c r="G308" s="79">
        <v>62300000</v>
      </c>
      <c r="H308" s="79">
        <v>0</v>
      </c>
      <c r="I308" s="79">
        <v>41892000</v>
      </c>
      <c r="J308" s="79">
        <v>0</v>
      </c>
      <c r="K308" s="79">
        <v>0</v>
      </c>
      <c r="L308" s="79">
        <v>3</v>
      </c>
      <c r="M308" s="79">
        <v>0</v>
      </c>
      <c r="N308" s="90">
        <v>9009</v>
      </c>
    </row>
    <row r="309" spans="1:14">
      <c r="A309" s="78">
        <v>35536092</v>
      </c>
      <c r="B309" s="79">
        <v>70</v>
      </c>
      <c r="C309" s="79">
        <v>1</v>
      </c>
      <c r="D309" s="79">
        <v>5</v>
      </c>
      <c r="E309" s="79">
        <v>2</v>
      </c>
      <c r="F309" s="79">
        <v>8550000</v>
      </c>
      <c r="G309" s="79">
        <v>170600000</v>
      </c>
      <c r="H309" s="79">
        <v>3250068.4399999995</v>
      </c>
      <c r="I309" s="79">
        <v>45805400</v>
      </c>
      <c r="J309" s="79">
        <v>0</v>
      </c>
      <c r="K309" s="79">
        <v>3</v>
      </c>
      <c r="L309" s="79">
        <v>4</v>
      </c>
      <c r="M309" s="79">
        <v>3</v>
      </c>
      <c r="N309" s="90">
        <v>9004</v>
      </c>
    </row>
    <row r="310" spans="1:14">
      <c r="A310" s="78">
        <v>1110510965</v>
      </c>
      <c r="B310" s="79">
        <v>94</v>
      </c>
      <c r="C310" s="79">
        <v>3</v>
      </c>
      <c r="D310" s="79">
        <v>2</v>
      </c>
      <c r="E310" s="79">
        <v>3</v>
      </c>
      <c r="F310" s="79">
        <v>2478000</v>
      </c>
      <c r="G310" s="79">
        <v>21650000</v>
      </c>
      <c r="H310" s="79">
        <v>0</v>
      </c>
      <c r="I310" s="79">
        <v>43234000</v>
      </c>
      <c r="J310" s="79">
        <v>0</v>
      </c>
      <c r="K310" s="79">
        <v>1</v>
      </c>
      <c r="L310" s="79">
        <v>5</v>
      </c>
      <c r="M310" s="79">
        <v>2</v>
      </c>
      <c r="N310" s="90">
        <v>9009</v>
      </c>
    </row>
    <row r="311" spans="1:14">
      <c r="A311" s="78">
        <v>1117519854</v>
      </c>
      <c r="B311" s="79">
        <v>57</v>
      </c>
      <c r="C311" s="79">
        <v>4</v>
      </c>
      <c r="D311" s="79">
        <v>9</v>
      </c>
      <c r="E311" s="79">
        <v>1</v>
      </c>
      <c r="F311" s="79">
        <v>4490000</v>
      </c>
      <c r="G311" s="79">
        <v>72200000</v>
      </c>
      <c r="H311" s="79">
        <v>0</v>
      </c>
      <c r="I311" s="79">
        <v>54390000</v>
      </c>
      <c r="J311" s="79">
        <v>0</v>
      </c>
      <c r="K311" s="79">
        <v>0</v>
      </c>
      <c r="L311" s="79">
        <v>4</v>
      </c>
      <c r="M311" s="79">
        <v>1</v>
      </c>
      <c r="N311" s="90">
        <v>9008</v>
      </c>
    </row>
    <row r="312" spans="1:14">
      <c r="A312" s="78">
        <v>1031159675</v>
      </c>
      <c r="B312" s="79">
        <v>61</v>
      </c>
      <c r="C312" s="79">
        <v>11</v>
      </c>
      <c r="D312" s="79">
        <v>12</v>
      </c>
      <c r="E312" s="79">
        <v>8</v>
      </c>
      <c r="F312" s="79">
        <v>6314220.833333333</v>
      </c>
      <c r="G312" s="79">
        <v>82402155.180000007</v>
      </c>
      <c r="H312" s="79">
        <v>23038518.77</v>
      </c>
      <c r="I312" s="79">
        <v>25320000</v>
      </c>
      <c r="J312" s="79">
        <v>0</v>
      </c>
      <c r="K312" s="79">
        <v>3</v>
      </c>
      <c r="L312" s="79">
        <v>10</v>
      </c>
      <c r="M312" s="79">
        <v>7</v>
      </c>
      <c r="N312" s="90">
        <v>9002</v>
      </c>
    </row>
    <row r="313" spans="1:14">
      <c r="A313" s="78">
        <v>1073512421</v>
      </c>
      <c r="B313" s="79">
        <v>8</v>
      </c>
      <c r="C313" s="79">
        <v>0</v>
      </c>
      <c r="D313" s="79">
        <v>0</v>
      </c>
      <c r="E313" s="79">
        <v>1</v>
      </c>
      <c r="F313" s="79">
        <v>0</v>
      </c>
      <c r="G313" s="79">
        <v>0</v>
      </c>
      <c r="H313" s="79">
        <v>0</v>
      </c>
      <c r="I313" s="79">
        <v>0</v>
      </c>
      <c r="J313" s="79">
        <v>0</v>
      </c>
      <c r="K313" s="79">
        <v>0</v>
      </c>
      <c r="L313" s="79">
        <v>0</v>
      </c>
      <c r="M313" s="79">
        <v>0</v>
      </c>
      <c r="N313" s="90">
        <v>9007</v>
      </c>
    </row>
    <row r="314" spans="1:14">
      <c r="A314" s="78">
        <v>1114819342</v>
      </c>
      <c r="B314" s="79">
        <v>57</v>
      </c>
      <c r="C314" s="79">
        <v>11</v>
      </c>
      <c r="D314" s="79">
        <v>10</v>
      </c>
      <c r="E314" s="79">
        <v>0</v>
      </c>
      <c r="F314" s="79">
        <v>4490000</v>
      </c>
      <c r="G314" s="79">
        <v>90000000</v>
      </c>
      <c r="H314" s="79">
        <v>22000000</v>
      </c>
      <c r="I314" s="79">
        <v>18197004</v>
      </c>
      <c r="J314" s="79">
        <v>0</v>
      </c>
      <c r="K314" s="79">
        <v>2</v>
      </c>
      <c r="L314" s="79">
        <v>3</v>
      </c>
      <c r="M314" s="79">
        <v>2</v>
      </c>
      <c r="N314" s="90">
        <v>9005</v>
      </c>
    </row>
    <row r="315" spans="1:14">
      <c r="A315" s="78">
        <v>1065613673</v>
      </c>
      <c r="B315" s="79">
        <v>79</v>
      </c>
      <c r="C315" s="79">
        <v>2</v>
      </c>
      <c r="D315" s="79">
        <v>7</v>
      </c>
      <c r="E315" s="79">
        <v>0</v>
      </c>
      <c r="F315" s="79">
        <v>2760000</v>
      </c>
      <c r="G315" s="79">
        <v>70200000</v>
      </c>
      <c r="H315" s="79">
        <v>0</v>
      </c>
      <c r="I315" s="79">
        <v>20728714</v>
      </c>
      <c r="J315" s="79">
        <v>0</v>
      </c>
      <c r="K315" s="79">
        <v>2</v>
      </c>
      <c r="L315" s="79">
        <v>6</v>
      </c>
      <c r="M315" s="79">
        <v>6</v>
      </c>
      <c r="N315" s="90">
        <v>9002</v>
      </c>
    </row>
    <row r="316" spans="1:14">
      <c r="A316" s="78">
        <v>1095823021</v>
      </c>
      <c r="B316" s="79">
        <v>66</v>
      </c>
      <c r="C316" s="79">
        <v>8</v>
      </c>
      <c r="D316" s="79">
        <v>6</v>
      </c>
      <c r="E316" s="79">
        <v>3</v>
      </c>
      <c r="F316" s="79">
        <v>6395000</v>
      </c>
      <c r="G316" s="79">
        <v>43500000</v>
      </c>
      <c r="H316" s="79">
        <v>17297752.879999999</v>
      </c>
      <c r="I316" s="79">
        <v>43248934</v>
      </c>
      <c r="J316" s="79">
        <v>0</v>
      </c>
      <c r="K316" s="79">
        <v>1</v>
      </c>
      <c r="L316" s="79">
        <v>2</v>
      </c>
      <c r="M316" s="79">
        <v>0</v>
      </c>
      <c r="N316" s="90">
        <v>9007</v>
      </c>
    </row>
    <row r="317" spans="1:14">
      <c r="A317" s="78">
        <v>55221108</v>
      </c>
      <c r="B317" s="79">
        <v>61</v>
      </c>
      <c r="C317" s="79">
        <v>8</v>
      </c>
      <c r="D317" s="79">
        <v>13</v>
      </c>
      <c r="E317" s="79">
        <v>2</v>
      </c>
      <c r="F317" s="79">
        <v>7246250</v>
      </c>
      <c r="G317" s="79">
        <v>43696826.129999995</v>
      </c>
      <c r="H317" s="79">
        <v>0</v>
      </c>
      <c r="I317" s="79">
        <v>17822774</v>
      </c>
      <c r="J317" s="79">
        <v>20000000</v>
      </c>
      <c r="K317" s="79">
        <v>4</v>
      </c>
      <c r="L317" s="79">
        <v>18</v>
      </c>
      <c r="M317" s="79">
        <v>14</v>
      </c>
      <c r="N317" s="90">
        <v>9004</v>
      </c>
    </row>
    <row r="318" spans="1:14">
      <c r="A318" s="78">
        <v>86070441</v>
      </c>
      <c r="B318" s="79">
        <v>134</v>
      </c>
      <c r="C318" s="79">
        <v>1</v>
      </c>
      <c r="D318" s="79">
        <v>9</v>
      </c>
      <c r="E318" s="79">
        <v>1</v>
      </c>
      <c r="F318" s="79">
        <v>6275000</v>
      </c>
      <c r="G318" s="79">
        <v>95700000</v>
      </c>
      <c r="H318" s="79">
        <v>0</v>
      </c>
      <c r="I318" s="79">
        <v>84039991</v>
      </c>
      <c r="J318" s="79">
        <v>0</v>
      </c>
      <c r="K318" s="79">
        <v>3</v>
      </c>
      <c r="L318" s="79">
        <v>8</v>
      </c>
      <c r="M318" s="79">
        <v>3</v>
      </c>
      <c r="N318" s="90">
        <v>9008</v>
      </c>
    </row>
    <row r="319" spans="1:14">
      <c r="A319" s="78">
        <v>1020733998</v>
      </c>
      <c r="B319" s="79">
        <v>41</v>
      </c>
      <c r="C319" s="79">
        <v>2</v>
      </c>
      <c r="D319" s="79">
        <v>7</v>
      </c>
      <c r="E319" s="79">
        <v>2</v>
      </c>
      <c r="F319" s="79">
        <v>5535000</v>
      </c>
      <c r="G319" s="79">
        <v>45300000</v>
      </c>
      <c r="H319" s="79">
        <v>82962147.819999993</v>
      </c>
      <c r="I319" s="79">
        <v>20635000</v>
      </c>
      <c r="J319" s="79">
        <v>0</v>
      </c>
      <c r="K319" s="79">
        <v>0</v>
      </c>
      <c r="L319" s="79">
        <v>16</v>
      </c>
      <c r="M319" s="79">
        <v>0</v>
      </c>
      <c r="N319" s="90">
        <v>9002</v>
      </c>
    </row>
    <row r="320" spans="1:14">
      <c r="A320" s="78">
        <v>1102848741</v>
      </c>
      <c r="B320" s="79">
        <v>84</v>
      </c>
      <c r="C320" s="79">
        <v>0</v>
      </c>
      <c r="D320" s="79">
        <v>5</v>
      </c>
      <c r="E320" s="79">
        <v>3</v>
      </c>
      <c r="F320" s="79">
        <v>7565000</v>
      </c>
      <c r="G320" s="79">
        <v>265399999.99999997</v>
      </c>
      <c r="H320" s="79">
        <v>35000000</v>
      </c>
      <c r="I320" s="79">
        <v>4000000</v>
      </c>
      <c r="J320" s="79">
        <v>0</v>
      </c>
      <c r="K320" s="79">
        <v>5</v>
      </c>
      <c r="L320" s="79">
        <v>5</v>
      </c>
      <c r="M320" s="79">
        <v>6</v>
      </c>
      <c r="N320" s="90">
        <v>9001</v>
      </c>
    </row>
    <row r="321" spans="1:14">
      <c r="A321" s="78">
        <v>1053809183</v>
      </c>
      <c r="B321" s="79">
        <v>79</v>
      </c>
      <c r="C321" s="79">
        <v>4</v>
      </c>
      <c r="D321" s="79">
        <v>12</v>
      </c>
      <c r="E321" s="79">
        <v>0</v>
      </c>
      <c r="F321" s="79">
        <v>4960000</v>
      </c>
      <c r="G321" s="79">
        <v>105110000</v>
      </c>
      <c r="H321" s="79">
        <v>0</v>
      </c>
      <c r="I321" s="79">
        <v>56782070</v>
      </c>
      <c r="J321" s="79">
        <v>0</v>
      </c>
      <c r="K321" s="79">
        <v>3</v>
      </c>
      <c r="L321" s="79">
        <v>11</v>
      </c>
      <c r="M321" s="79">
        <v>4</v>
      </c>
      <c r="N321" s="90">
        <v>9007</v>
      </c>
    </row>
    <row r="322" spans="1:14">
      <c r="A322" s="78">
        <v>1073508522</v>
      </c>
      <c r="B322" s="79">
        <v>68</v>
      </c>
      <c r="C322" s="79">
        <v>2</v>
      </c>
      <c r="D322" s="79">
        <v>7</v>
      </c>
      <c r="E322" s="79">
        <v>4</v>
      </c>
      <c r="F322" s="79">
        <v>2250833.3333333335</v>
      </c>
      <c r="G322" s="79">
        <v>65569999.999999993</v>
      </c>
      <c r="H322" s="79">
        <v>0</v>
      </c>
      <c r="I322" s="79">
        <v>43521000</v>
      </c>
      <c r="J322" s="79">
        <v>0</v>
      </c>
      <c r="K322" s="79">
        <v>0</v>
      </c>
      <c r="L322" s="79">
        <v>5</v>
      </c>
      <c r="M322" s="79">
        <v>3</v>
      </c>
      <c r="N322" s="90">
        <v>9005</v>
      </c>
    </row>
    <row r="323" spans="1:14">
      <c r="A323" s="78">
        <v>1037586659</v>
      </c>
      <c r="B323" s="79">
        <v>37</v>
      </c>
      <c r="C323" s="79">
        <v>5</v>
      </c>
      <c r="D323" s="79">
        <v>3</v>
      </c>
      <c r="E323" s="79">
        <v>0</v>
      </c>
      <c r="F323" s="79">
        <v>6765000</v>
      </c>
      <c r="G323" s="79">
        <v>145000000</v>
      </c>
      <c r="H323" s="79">
        <v>0</v>
      </c>
      <c r="I323" s="79">
        <v>47290595</v>
      </c>
      <c r="J323" s="79">
        <v>0</v>
      </c>
      <c r="K323" s="79">
        <v>8</v>
      </c>
      <c r="L323" s="79">
        <v>10</v>
      </c>
      <c r="M323" s="79">
        <v>11</v>
      </c>
      <c r="N323" s="90">
        <v>9007</v>
      </c>
    </row>
    <row r="324" spans="1:14">
      <c r="A324" s="78">
        <v>52878312</v>
      </c>
      <c r="B324" s="79">
        <v>86</v>
      </c>
      <c r="C324" s="79">
        <v>1</v>
      </c>
      <c r="D324" s="79">
        <v>7</v>
      </c>
      <c r="E324" s="79">
        <v>1</v>
      </c>
      <c r="F324" s="79">
        <v>10640000</v>
      </c>
      <c r="G324" s="79">
        <v>208644020.78</v>
      </c>
      <c r="H324" s="79">
        <v>0</v>
      </c>
      <c r="I324" s="79">
        <v>6842000</v>
      </c>
      <c r="J324" s="79">
        <v>0</v>
      </c>
      <c r="K324" s="79">
        <v>10</v>
      </c>
      <c r="L324" s="79">
        <v>9</v>
      </c>
      <c r="M324" s="79">
        <v>10</v>
      </c>
      <c r="N324" s="90">
        <v>9005</v>
      </c>
    </row>
    <row r="325" spans="1:14">
      <c r="A325" s="78">
        <v>1116040428</v>
      </c>
      <c r="B325" s="79">
        <v>50</v>
      </c>
      <c r="C325" s="79">
        <v>2</v>
      </c>
      <c r="D325" s="79">
        <v>13</v>
      </c>
      <c r="E325" s="79">
        <v>2</v>
      </c>
      <c r="F325" s="79">
        <v>3260000</v>
      </c>
      <c r="G325" s="79">
        <v>11200000</v>
      </c>
      <c r="H325" s="79">
        <v>0</v>
      </c>
      <c r="I325" s="79">
        <v>0</v>
      </c>
      <c r="J325" s="79">
        <v>0</v>
      </c>
      <c r="K325" s="79">
        <v>2</v>
      </c>
      <c r="L325" s="79">
        <v>2</v>
      </c>
      <c r="M325" s="79">
        <v>2</v>
      </c>
      <c r="N325" s="90">
        <v>9009</v>
      </c>
    </row>
    <row r="326" spans="1:14">
      <c r="A326" s="78">
        <v>52431613</v>
      </c>
      <c r="B326" s="79">
        <v>77</v>
      </c>
      <c r="C326" s="79">
        <v>3</v>
      </c>
      <c r="D326" s="79">
        <v>5</v>
      </c>
      <c r="E326" s="79">
        <v>6</v>
      </c>
      <c r="F326" s="79">
        <v>7585000</v>
      </c>
      <c r="G326" s="79">
        <v>161300000</v>
      </c>
      <c r="H326" s="79">
        <v>25000000</v>
      </c>
      <c r="I326" s="79">
        <v>101435918</v>
      </c>
      <c r="J326" s="79">
        <v>0</v>
      </c>
      <c r="K326" s="79">
        <v>2</v>
      </c>
      <c r="L326" s="79">
        <v>7</v>
      </c>
      <c r="M326" s="79">
        <v>8</v>
      </c>
      <c r="N326" s="90">
        <v>9004</v>
      </c>
    </row>
    <row r="327" spans="1:14">
      <c r="A327" s="78">
        <v>1013625226</v>
      </c>
      <c r="B327" s="79">
        <v>71</v>
      </c>
      <c r="C327" s="79">
        <v>8</v>
      </c>
      <c r="D327" s="79">
        <v>12</v>
      </c>
      <c r="E327" s="79">
        <v>4</v>
      </c>
      <c r="F327" s="79">
        <v>9840000</v>
      </c>
      <c r="G327" s="79">
        <v>90000000</v>
      </c>
      <c r="H327" s="79">
        <v>0</v>
      </c>
      <c r="I327" s="79">
        <v>130957000</v>
      </c>
      <c r="J327" s="79">
        <v>0</v>
      </c>
      <c r="K327" s="79">
        <v>0</v>
      </c>
      <c r="L327" s="79">
        <v>2</v>
      </c>
      <c r="M327" s="79">
        <v>4</v>
      </c>
      <c r="N327" s="90">
        <v>9004</v>
      </c>
    </row>
    <row r="328" spans="1:14">
      <c r="A328" s="78">
        <v>1121830801</v>
      </c>
      <c r="B328" s="79">
        <v>36</v>
      </c>
      <c r="C328" s="79">
        <v>1</v>
      </c>
      <c r="D328" s="79">
        <v>6</v>
      </c>
      <c r="E328" s="79">
        <v>0</v>
      </c>
      <c r="F328" s="79">
        <v>9162412.5</v>
      </c>
      <c r="G328" s="79">
        <v>100200000</v>
      </c>
      <c r="H328" s="79">
        <v>0</v>
      </c>
      <c r="I328" s="79">
        <v>17804086</v>
      </c>
      <c r="J328" s="79">
        <v>0</v>
      </c>
      <c r="K328" s="79">
        <v>9</v>
      </c>
      <c r="L328" s="79">
        <v>14</v>
      </c>
      <c r="M328" s="79">
        <v>9</v>
      </c>
      <c r="N328" s="90">
        <v>9005</v>
      </c>
    </row>
    <row r="329" spans="1:14">
      <c r="A329" s="78">
        <v>1069474417</v>
      </c>
      <c r="B329" s="79">
        <v>80</v>
      </c>
      <c r="C329" s="79">
        <v>1</v>
      </c>
      <c r="D329" s="79">
        <v>12</v>
      </c>
      <c r="E329" s="79">
        <v>1</v>
      </c>
      <c r="F329" s="79">
        <v>2460000</v>
      </c>
      <c r="G329" s="79">
        <v>11200000</v>
      </c>
      <c r="H329" s="79">
        <v>0</v>
      </c>
      <c r="I329" s="79">
        <v>14324700</v>
      </c>
      <c r="J329" s="79">
        <v>0</v>
      </c>
      <c r="K329" s="79">
        <v>3</v>
      </c>
      <c r="L329" s="79">
        <v>8</v>
      </c>
      <c r="M329" s="79">
        <v>9</v>
      </c>
      <c r="N329" s="90">
        <v>9004</v>
      </c>
    </row>
    <row r="330" spans="1:14">
      <c r="A330" s="78">
        <v>1075212214</v>
      </c>
      <c r="B330" s="79">
        <v>50</v>
      </c>
      <c r="C330" s="79">
        <v>5</v>
      </c>
      <c r="D330" s="79">
        <v>13</v>
      </c>
      <c r="E330" s="79">
        <v>8</v>
      </c>
      <c r="F330" s="79">
        <v>11070000</v>
      </c>
      <c r="G330" s="79">
        <v>156300000</v>
      </c>
      <c r="H330" s="79">
        <v>46142000</v>
      </c>
      <c r="I330" s="79">
        <v>65772000</v>
      </c>
      <c r="J330" s="79">
        <v>0</v>
      </c>
      <c r="K330" s="79">
        <v>9</v>
      </c>
      <c r="L330" s="79">
        <v>9</v>
      </c>
      <c r="M330" s="79">
        <v>9</v>
      </c>
      <c r="N330" s="90">
        <v>9001</v>
      </c>
    </row>
    <row r="331" spans="1:14">
      <c r="A331" s="78">
        <v>1017190332</v>
      </c>
      <c r="B331" s="79">
        <v>65</v>
      </c>
      <c r="C331" s="79">
        <v>0</v>
      </c>
      <c r="D331" s="79">
        <v>8</v>
      </c>
      <c r="E331" s="79">
        <v>1</v>
      </c>
      <c r="F331" s="79">
        <v>10127500</v>
      </c>
      <c r="G331" s="79">
        <v>166500000</v>
      </c>
      <c r="H331" s="79">
        <v>0</v>
      </c>
      <c r="I331" s="79">
        <v>65686484</v>
      </c>
      <c r="J331" s="79">
        <v>32616000</v>
      </c>
      <c r="K331" s="79">
        <v>7</v>
      </c>
      <c r="L331" s="79">
        <v>6</v>
      </c>
      <c r="M331" s="79">
        <v>7</v>
      </c>
      <c r="N331" s="90">
        <v>9001</v>
      </c>
    </row>
    <row r="332" spans="1:14">
      <c r="A332" s="78">
        <v>1003994517</v>
      </c>
      <c r="B332" s="79">
        <v>44</v>
      </c>
      <c r="C332" s="79">
        <v>4</v>
      </c>
      <c r="D332" s="79">
        <v>13</v>
      </c>
      <c r="E332" s="79">
        <v>0</v>
      </c>
      <c r="F332" s="79">
        <v>11685000</v>
      </c>
      <c r="G332" s="79">
        <v>172692349.99000001</v>
      </c>
      <c r="H332" s="79">
        <v>0</v>
      </c>
      <c r="I332" s="79">
        <v>52600000</v>
      </c>
      <c r="J332" s="79">
        <v>0</v>
      </c>
      <c r="K332" s="79">
        <v>8</v>
      </c>
      <c r="L332" s="79">
        <v>8</v>
      </c>
      <c r="M332" s="79">
        <v>8</v>
      </c>
      <c r="N332" s="90">
        <v>9009</v>
      </c>
    </row>
    <row r="333" spans="1:14">
      <c r="A333" s="78">
        <v>67039877</v>
      </c>
      <c r="B333" s="79">
        <v>114</v>
      </c>
      <c r="C333" s="79">
        <v>10</v>
      </c>
      <c r="D333" s="79">
        <v>6</v>
      </c>
      <c r="E333" s="79">
        <v>2</v>
      </c>
      <c r="F333" s="79">
        <v>8065000</v>
      </c>
      <c r="G333" s="79">
        <v>97000000</v>
      </c>
      <c r="H333" s="79">
        <v>0</v>
      </c>
      <c r="I333" s="79">
        <v>55426636</v>
      </c>
      <c r="J333" s="79">
        <v>0</v>
      </c>
      <c r="K333" s="79">
        <v>1</v>
      </c>
      <c r="L333" s="79">
        <v>10</v>
      </c>
      <c r="M333" s="79">
        <v>9</v>
      </c>
      <c r="N333" s="90">
        <v>9001</v>
      </c>
    </row>
    <row r="334" spans="1:14">
      <c r="A334" s="78">
        <v>1032397127</v>
      </c>
      <c r="B334" s="79">
        <v>69</v>
      </c>
      <c r="C334" s="79">
        <v>2</v>
      </c>
      <c r="D334" s="79">
        <v>16</v>
      </c>
      <c r="E334" s="79">
        <v>1</v>
      </c>
      <c r="F334" s="79">
        <v>9225000</v>
      </c>
      <c r="G334" s="79">
        <v>78200000</v>
      </c>
      <c r="H334" s="79">
        <v>39000000</v>
      </c>
      <c r="I334" s="79">
        <v>28941000</v>
      </c>
      <c r="J334" s="79">
        <v>0</v>
      </c>
      <c r="K334" s="79">
        <v>6</v>
      </c>
      <c r="L334" s="79">
        <v>14</v>
      </c>
      <c r="M334" s="79">
        <v>7</v>
      </c>
      <c r="N334" s="90">
        <v>9001</v>
      </c>
    </row>
    <row r="335" spans="1:14">
      <c r="A335" s="78">
        <v>1031158854</v>
      </c>
      <c r="B335" s="79">
        <v>86</v>
      </c>
      <c r="C335" s="79">
        <v>4</v>
      </c>
      <c r="D335" s="79">
        <v>4</v>
      </c>
      <c r="E335" s="79">
        <v>2</v>
      </c>
      <c r="F335" s="79">
        <v>3690000</v>
      </c>
      <c r="G335" s="79">
        <v>0</v>
      </c>
      <c r="H335" s="79">
        <v>0</v>
      </c>
      <c r="I335" s="79">
        <v>23294000</v>
      </c>
      <c r="J335" s="79">
        <v>0</v>
      </c>
      <c r="K335" s="79">
        <v>1</v>
      </c>
      <c r="L335" s="79">
        <v>7</v>
      </c>
      <c r="M335" s="79">
        <v>6</v>
      </c>
      <c r="N335" s="90">
        <v>9001</v>
      </c>
    </row>
    <row r="336" spans="1:14">
      <c r="A336" s="78">
        <v>30333496</v>
      </c>
      <c r="B336" s="79">
        <v>69</v>
      </c>
      <c r="C336" s="79">
        <v>4</v>
      </c>
      <c r="D336" s="79">
        <v>6</v>
      </c>
      <c r="E336" s="79">
        <v>9</v>
      </c>
      <c r="F336" s="79">
        <v>1845000</v>
      </c>
      <c r="G336" s="79">
        <v>42000000</v>
      </c>
      <c r="H336" s="79">
        <v>0</v>
      </c>
      <c r="I336" s="79">
        <v>18673000</v>
      </c>
      <c r="J336" s="79">
        <v>0</v>
      </c>
      <c r="K336" s="79">
        <v>0</v>
      </c>
      <c r="L336" s="79">
        <v>0</v>
      </c>
      <c r="M336" s="79">
        <v>1</v>
      </c>
      <c r="N336" s="90">
        <v>9007</v>
      </c>
    </row>
    <row r="337" spans="1:14">
      <c r="A337" s="78">
        <v>1032459798</v>
      </c>
      <c r="B337" s="79">
        <v>63</v>
      </c>
      <c r="C337" s="79">
        <v>2</v>
      </c>
      <c r="D337" s="79">
        <v>6</v>
      </c>
      <c r="E337" s="79">
        <v>9</v>
      </c>
      <c r="F337" s="79">
        <v>5535000</v>
      </c>
      <c r="G337" s="79">
        <v>81500000</v>
      </c>
      <c r="H337" s="79">
        <v>0</v>
      </c>
      <c r="I337" s="79">
        <v>49389687</v>
      </c>
      <c r="J337" s="79">
        <v>0</v>
      </c>
      <c r="K337" s="79">
        <v>5</v>
      </c>
      <c r="L337" s="79">
        <v>8</v>
      </c>
      <c r="M337" s="79">
        <v>12</v>
      </c>
      <c r="N337" s="90">
        <v>9007</v>
      </c>
    </row>
    <row r="338" spans="1:14">
      <c r="A338" s="78">
        <v>1014210774</v>
      </c>
      <c r="B338" s="79">
        <v>48</v>
      </c>
      <c r="C338" s="79">
        <v>1</v>
      </c>
      <c r="D338" s="79">
        <v>5</v>
      </c>
      <c r="E338" s="79">
        <v>5</v>
      </c>
      <c r="F338" s="79">
        <v>457083.33333333302</v>
      </c>
      <c r="G338" s="79">
        <v>54600000</v>
      </c>
      <c r="H338" s="79">
        <v>19000000</v>
      </c>
      <c r="I338" s="79">
        <v>76151279</v>
      </c>
      <c r="J338" s="79">
        <v>0</v>
      </c>
      <c r="K338" s="79">
        <v>4</v>
      </c>
      <c r="L338" s="79">
        <v>3</v>
      </c>
      <c r="M338" s="79">
        <v>1</v>
      </c>
      <c r="N338" s="90">
        <v>9003</v>
      </c>
    </row>
    <row r="339" spans="1:14">
      <c r="A339" s="78">
        <v>1016035566</v>
      </c>
      <c r="B339" s="79">
        <v>85</v>
      </c>
      <c r="C339" s="79">
        <v>3</v>
      </c>
      <c r="D339" s="79">
        <v>2</v>
      </c>
      <c r="E339" s="79">
        <v>8</v>
      </c>
      <c r="F339" s="79">
        <v>198386.83333333337</v>
      </c>
      <c r="G339" s="79">
        <v>22200000</v>
      </c>
      <c r="H339" s="79">
        <v>25000000</v>
      </c>
      <c r="I339" s="79">
        <v>46446731</v>
      </c>
      <c r="J339" s="79">
        <v>0</v>
      </c>
      <c r="K339" s="79">
        <v>0</v>
      </c>
      <c r="L339" s="79">
        <v>0</v>
      </c>
      <c r="M339" s="79">
        <v>0</v>
      </c>
      <c r="N339" s="90">
        <v>9007</v>
      </c>
    </row>
    <row r="340" spans="1:14">
      <c r="A340" s="78">
        <v>44156232</v>
      </c>
      <c r="B340" s="79">
        <v>78</v>
      </c>
      <c r="C340" s="79">
        <v>5</v>
      </c>
      <c r="D340" s="79">
        <v>8</v>
      </c>
      <c r="E340" s="79">
        <v>2</v>
      </c>
      <c r="F340" s="79">
        <v>3741250</v>
      </c>
      <c r="G340" s="79">
        <v>55000000</v>
      </c>
      <c r="H340" s="79">
        <v>0</v>
      </c>
      <c r="I340" s="79">
        <v>38630000</v>
      </c>
      <c r="J340" s="79">
        <v>0</v>
      </c>
      <c r="K340" s="79">
        <v>3</v>
      </c>
      <c r="L340" s="79">
        <v>13</v>
      </c>
      <c r="M340" s="79">
        <v>12</v>
      </c>
      <c r="N340" s="90">
        <v>9001</v>
      </c>
    </row>
    <row r="341" spans="1:14">
      <c r="A341" s="78">
        <v>1024516153</v>
      </c>
      <c r="B341" s="79">
        <v>19</v>
      </c>
      <c r="C341" s="79">
        <v>4</v>
      </c>
      <c r="D341" s="79">
        <v>5</v>
      </c>
      <c r="E341" s="79">
        <v>0</v>
      </c>
      <c r="F341" s="79">
        <v>818000</v>
      </c>
      <c r="G341" s="79">
        <v>30400000</v>
      </c>
      <c r="H341" s="79">
        <v>0</v>
      </c>
      <c r="I341" s="79">
        <v>29734000</v>
      </c>
      <c r="J341" s="79">
        <v>0</v>
      </c>
      <c r="K341" s="79">
        <v>1</v>
      </c>
      <c r="L341" s="79">
        <v>3</v>
      </c>
      <c r="M341" s="79">
        <v>0</v>
      </c>
      <c r="N341" s="90">
        <v>9007</v>
      </c>
    </row>
    <row r="342" spans="1:14">
      <c r="A342" s="78">
        <v>1022346094</v>
      </c>
      <c r="B342" s="79">
        <v>127</v>
      </c>
      <c r="C342" s="79">
        <v>8</v>
      </c>
      <c r="D342" s="79">
        <v>5</v>
      </c>
      <c r="E342" s="79">
        <v>1</v>
      </c>
      <c r="F342" s="79">
        <v>2307284.25</v>
      </c>
      <c r="G342" s="79">
        <v>-1000000</v>
      </c>
      <c r="H342" s="79">
        <v>0</v>
      </c>
      <c r="I342" s="79">
        <v>20684793</v>
      </c>
      <c r="J342" s="79">
        <v>0</v>
      </c>
      <c r="K342" s="79">
        <v>2</v>
      </c>
      <c r="L342" s="79">
        <v>14</v>
      </c>
      <c r="M342" s="79">
        <v>4</v>
      </c>
      <c r="N342" s="90">
        <v>9003</v>
      </c>
    </row>
    <row r="343" spans="1:14">
      <c r="A343" s="78">
        <v>1015448134</v>
      </c>
      <c r="B343" s="79">
        <v>39</v>
      </c>
      <c r="C343" s="79">
        <v>2</v>
      </c>
      <c r="D343" s="79">
        <v>10</v>
      </c>
      <c r="E343" s="79">
        <v>2</v>
      </c>
      <c r="F343" s="79">
        <v>3505000</v>
      </c>
      <c r="G343" s="79">
        <v>88600000</v>
      </c>
      <c r="H343" s="79">
        <v>0</v>
      </c>
      <c r="I343" s="79">
        <v>38329676</v>
      </c>
      <c r="J343" s="79">
        <v>0</v>
      </c>
      <c r="K343" s="79">
        <v>0</v>
      </c>
      <c r="L343" s="79">
        <v>1</v>
      </c>
      <c r="M343" s="79">
        <v>0</v>
      </c>
      <c r="N343" s="90">
        <v>9009</v>
      </c>
    </row>
    <row r="344" spans="1:14">
      <c r="A344" s="78">
        <v>1014273167</v>
      </c>
      <c r="B344" s="79">
        <v>28</v>
      </c>
      <c r="C344" s="79">
        <v>5</v>
      </c>
      <c r="D344" s="79">
        <v>18</v>
      </c>
      <c r="E344" s="79">
        <v>5</v>
      </c>
      <c r="F344" s="79">
        <v>5586250</v>
      </c>
      <c r="G344" s="79">
        <v>165000000</v>
      </c>
      <c r="H344" s="79">
        <v>0</v>
      </c>
      <c r="I344" s="79">
        <v>134632000</v>
      </c>
      <c r="J344" s="79">
        <v>0</v>
      </c>
      <c r="K344" s="79">
        <v>3</v>
      </c>
      <c r="L344" s="79">
        <v>10</v>
      </c>
      <c r="M344" s="79">
        <v>1</v>
      </c>
      <c r="N344" s="90">
        <v>9005</v>
      </c>
    </row>
    <row r="345" spans="1:14">
      <c r="A345" s="78">
        <v>1152688576</v>
      </c>
      <c r="B345" s="79">
        <v>56</v>
      </c>
      <c r="C345" s="79">
        <v>2</v>
      </c>
      <c r="D345" s="79">
        <v>16</v>
      </c>
      <c r="E345" s="79">
        <v>1</v>
      </c>
      <c r="F345" s="79">
        <v>12150833.333333334</v>
      </c>
      <c r="G345" s="79">
        <v>126200000</v>
      </c>
      <c r="H345" s="79">
        <v>0</v>
      </c>
      <c r="I345" s="79">
        <v>135185095</v>
      </c>
      <c r="J345" s="79">
        <v>0</v>
      </c>
      <c r="K345" s="79">
        <v>9</v>
      </c>
      <c r="L345" s="79">
        <v>13</v>
      </c>
      <c r="M345" s="79">
        <v>10</v>
      </c>
      <c r="N345" s="90">
        <v>9007</v>
      </c>
    </row>
    <row r="346" spans="1:14">
      <c r="A346" s="78">
        <v>1037621761</v>
      </c>
      <c r="B346" s="79">
        <v>33</v>
      </c>
      <c r="C346" s="79">
        <v>2</v>
      </c>
      <c r="D346" s="79">
        <v>9</v>
      </c>
      <c r="E346" s="79">
        <v>2</v>
      </c>
      <c r="F346" s="79">
        <v>6150000</v>
      </c>
      <c r="G346" s="79">
        <v>82130000</v>
      </c>
      <c r="H346" s="79">
        <v>0</v>
      </c>
      <c r="I346" s="79">
        <v>143904409</v>
      </c>
      <c r="J346" s="79">
        <v>0</v>
      </c>
      <c r="K346" s="79">
        <v>1</v>
      </c>
      <c r="L346" s="79">
        <v>7</v>
      </c>
      <c r="M346" s="79">
        <v>2</v>
      </c>
      <c r="N346" s="90">
        <v>9002</v>
      </c>
    </row>
    <row r="347" spans="1:14">
      <c r="A347" s="78">
        <v>1024590952</v>
      </c>
      <c r="B347" s="79">
        <v>63</v>
      </c>
      <c r="C347" s="79">
        <v>5</v>
      </c>
      <c r="D347" s="79">
        <v>7</v>
      </c>
      <c r="E347" s="79">
        <v>0</v>
      </c>
      <c r="F347" s="79">
        <v>0</v>
      </c>
      <c r="G347" s="79">
        <v>0</v>
      </c>
      <c r="H347" s="79">
        <v>34000000</v>
      </c>
      <c r="I347" s="79">
        <v>15539134</v>
      </c>
      <c r="J347" s="79">
        <v>0</v>
      </c>
      <c r="K347" s="79">
        <v>1</v>
      </c>
      <c r="L347" s="79">
        <v>8</v>
      </c>
      <c r="M347" s="79">
        <v>0</v>
      </c>
      <c r="N347" s="90">
        <v>9007</v>
      </c>
    </row>
    <row r="348" spans="1:14">
      <c r="A348" s="78">
        <v>1017169122</v>
      </c>
      <c r="B348" s="79">
        <v>57</v>
      </c>
      <c r="C348" s="79">
        <v>1</v>
      </c>
      <c r="D348" s="79">
        <v>5</v>
      </c>
      <c r="E348" s="79">
        <v>2</v>
      </c>
      <c r="F348" s="79">
        <v>9243000</v>
      </c>
      <c r="G348" s="79">
        <v>142390000</v>
      </c>
      <c r="H348" s="79">
        <v>0</v>
      </c>
      <c r="I348" s="79">
        <v>73022677</v>
      </c>
      <c r="J348" s="79">
        <v>0</v>
      </c>
      <c r="K348" s="79">
        <v>8</v>
      </c>
      <c r="L348" s="79">
        <v>14</v>
      </c>
      <c r="M348" s="79">
        <v>10</v>
      </c>
      <c r="N348" s="90">
        <v>9005</v>
      </c>
    </row>
    <row r="349" spans="1:14">
      <c r="A349" s="78">
        <v>1019019613</v>
      </c>
      <c r="B349" s="79">
        <v>98</v>
      </c>
      <c r="C349" s="79">
        <v>11</v>
      </c>
      <c r="D349" s="79">
        <v>9</v>
      </c>
      <c r="E349" s="79">
        <v>1</v>
      </c>
      <c r="F349" s="79">
        <v>7045833.333333333</v>
      </c>
      <c r="G349" s="79">
        <v>16200000</v>
      </c>
      <c r="H349" s="79">
        <v>15000000</v>
      </c>
      <c r="I349" s="79">
        <v>59242003</v>
      </c>
      <c r="J349" s="79">
        <v>0</v>
      </c>
      <c r="K349" s="79">
        <v>0</v>
      </c>
      <c r="L349" s="79">
        <v>5</v>
      </c>
      <c r="M349" s="79">
        <v>5</v>
      </c>
      <c r="N349" s="90">
        <v>9005</v>
      </c>
    </row>
    <row r="350" spans="1:14">
      <c r="A350" s="78">
        <v>1020427303</v>
      </c>
      <c r="B350" s="79">
        <v>40</v>
      </c>
      <c r="C350" s="79">
        <v>3</v>
      </c>
      <c r="D350" s="79">
        <v>12</v>
      </c>
      <c r="E350" s="79">
        <v>0</v>
      </c>
      <c r="F350" s="79">
        <v>10894265.333333334</v>
      </c>
      <c r="G350" s="79">
        <v>104815603.86</v>
      </c>
      <c r="H350" s="79">
        <v>85000000</v>
      </c>
      <c r="I350" s="79">
        <v>90500800</v>
      </c>
      <c r="J350" s="79">
        <v>0</v>
      </c>
      <c r="K350" s="79">
        <v>4</v>
      </c>
      <c r="L350" s="79">
        <v>5</v>
      </c>
      <c r="M350" s="79">
        <v>5</v>
      </c>
      <c r="N350" s="90">
        <v>9004</v>
      </c>
    </row>
    <row r="351" spans="1:14">
      <c r="A351" s="78">
        <v>1018475713</v>
      </c>
      <c r="B351" s="79">
        <v>48</v>
      </c>
      <c r="C351" s="79">
        <v>1</v>
      </c>
      <c r="D351" s="79">
        <v>12</v>
      </c>
      <c r="E351" s="79">
        <v>7</v>
      </c>
      <c r="F351" s="79">
        <v>1230000</v>
      </c>
      <c r="G351" s="79">
        <v>0</v>
      </c>
      <c r="H351" s="79">
        <v>24499724.379999999</v>
      </c>
      <c r="I351" s="79">
        <v>28192000</v>
      </c>
      <c r="J351" s="79">
        <v>0</v>
      </c>
      <c r="K351" s="79">
        <v>0</v>
      </c>
      <c r="L351" s="79">
        <v>6</v>
      </c>
      <c r="M351" s="79">
        <v>4</v>
      </c>
      <c r="N351" s="90">
        <v>9001</v>
      </c>
    </row>
    <row r="352" spans="1:14">
      <c r="A352" s="78">
        <v>57466761</v>
      </c>
      <c r="B352" s="79">
        <v>37</v>
      </c>
      <c r="C352" s="79">
        <v>3</v>
      </c>
      <c r="D352" s="79">
        <v>6</v>
      </c>
      <c r="E352" s="79">
        <v>0</v>
      </c>
      <c r="F352" s="79">
        <v>9532500</v>
      </c>
      <c r="G352" s="79">
        <v>126900000</v>
      </c>
      <c r="H352" s="79">
        <v>0</v>
      </c>
      <c r="I352" s="79">
        <v>15850000</v>
      </c>
      <c r="J352" s="79">
        <v>0</v>
      </c>
      <c r="K352" s="79">
        <v>1</v>
      </c>
      <c r="L352" s="79">
        <v>9</v>
      </c>
      <c r="M352" s="79">
        <v>1</v>
      </c>
      <c r="N352" s="90">
        <v>9002</v>
      </c>
    </row>
    <row r="353" spans="1:14">
      <c r="A353" s="78">
        <v>1075227846</v>
      </c>
      <c r="B353" s="79">
        <v>36</v>
      </c>
      <c r="C353" s="79">
        <v>0</v>
      </c>
      <c r="D353" s="79">
        <v>11</v>
      </c>
      <c r="E353" s="79">
        <v>0</v>
      </c>
      <c r="F353" s="79">
        <v>7565000</v>
      </c>
      <c r="G353" s="79">
        <v>273600000</v>
      </c>
      <c r="H353" s="79">
        <v>9479940.5199999996</v>
      </c>
      <c r="I353" s="79">
        <v>101958000</v>
      </c>
      <c r="J353" s="79">
        <v>0</v>
      </c>
      <c r="K353" s="79">
        <v>7</v>
      </c>
      <c r="L353" s="79">
        <v>7</v>
      </c>
      <c r="M353" s="79">
        <v>8</v>
      </c>
      <c r="N353" s="90">
        <v>9003</v>
      </c>
    </row>
    <row r="354" spans="1:14">
      <c r="A354" s="78">
        <v>64572729</v>
      </c>
      <c r="B354" s="79">
        <v>43</v>
      </c>
      <c r="C354" s="79">
        <v>1</v>
      </c>
      <c r="D354" s="79">
        <v>2</v>
      </c>
      <c r="E354" s="79">
        <v>0</v>
      </c>
      <c r="F354" s="79">
        <v>2538955.666666667</v>
      </c>
      <c r="G354" s="79">
        <v>73000000</v>
      </c>
      <c r="H354" s="79">
        <v>0</v>
      </c>
      <c r="I354" s="79">
        <v>57714896</v>
      </c>
      <c r="J354" s="79">
        <v>0</v>
      </c>
      <c r="K354" s="79">
        <v>1</v>
      </c>
      <c r="L354" s="79">
        <v>5</v>
      </c>
      <c r="M354" s="79">
        <v>4</v>
      </c>
      <c r="N354" s="90">
        <v>9002</v>
      </c>
    </row>
    <row r="355" spans="1:14">
      <c r="A355" s="78">
        <v>1022387032</v>
      </c>
      <c r="B355" s="79">
        <v>65</v>
      </c>
      <c r="C355" s="79">
        <v>2</v>
      </c>
      <c r="D355" s="79">
        <v>2</v>
      </c>
      <c r="E355" s="79">
        <v>0</v>
      </c>
      <c r="F355" s="79">
        <v>1230000</v>
      </c>
      <c r="G355" s="79">
        <v>11800000</v>
      </c>
      <c r="H355" s="79">
        <v>0</v>
      </c>
      <c r="I355" s="79">
        <v>49688447</v>
      </c>
      <c r="J355" s="79">
        <v>0</v>
      </c>
      <c r="K355" s="79">
        <v>1</v>
      </c>
      <c r="L355" s="79">
        <v>2</v>
      </c>
      <c r="M355" s="79">
        <v>0</v>
      </c>
      <c r="N355" s="90">
        <v>9003</v>
      </c>
    </row>
    <row r="356" spans="1:14">
      <c r="A356" s="78">
        <v>1017150670</v>
      </c>
      <c r="B356" s="79">
        <v>28</v>
      </c>
      <c r="C356" s="79">
        <v>1</v>
      </c>
      <c r="D356" s="79">
        <v>5</v>
      </c>
      <c r="E356" s="79">
        <v>9</v>
      </c>
      <c r="F356" s="79">
        <v>3520725.833333333</v>
      </c>
      <c r="G356" s="79">
        <v>84500000</v>
      </c>
      <c r="H356" s="79">
        <v>0</v>
      </c>
      <c r="I356" s="79">
        <v>132425775</v>
      </c>
      <c r="J356" s="79">
        <v>0</v>
      </c>
      <c r="K356" s="79">
        <v>6</v>
      </c>
      <c r="L356" s="79">
        <v>7</v>
      </c>
      <c r="M356" s="79">
        <v>7</v>
      </c>
      <c r="N356" s="90">
        <v>9004</v>
      </c>
    </row>
    <row r="357" spans="1:14">
      <c r="A357" s="78">
        <v>1088264450</v>
      </c>
      <c r="B357" s="79">
        <v>95</v>
      </c>
      <c r="C357" s="79">
        <v>2</v>
      </c>
      <c r="D357" s="79">
        <v>14</v>
      </c>
      <c r="E357" s="79">
        <v>0</v>
      </c>
      <c r="F357" s="79">
        <v>7565000</v>
      </c>
      <c r="G357" s="79">
        <v>103300000</v>
      </c>
      <c r="H357" s="79">
        <v>0</v>
      </c>
      <c r="I357" s="79">
        <v>39021773</v>
      </c>
      <c r="J357" s="79">
        <v>0</v>
      </c>
      <c r="K357" s="79">
        <v>8</v>
      </c>
      <c r="L357" s="79">
        <v>13</v>
      </c>
      <c r="M357" s="79">
        <v>9</v>
      </c>
      <c r="N357" s="90">
        <v>9005</v>
      </c>
    </row>
    <row r="358" spans="1:14">
      <c r="A358" s="78">
        <v>1075265993</v>
      </c>
      <c r="B358" s="79">
        <v>58</v>
      </c>
      <c r="C358" s="79">
        <v>0</v>
      </c>
      <c r="D358" s="79">
        <v>13</v>
      </c>
      <c r="E358" s="79">
        <v>0</v>
      </c>
      <c r="F358" s="79">
        <v>7380000</v>
      </c>
      <c r="G358" s="79">
        <v>456980000</v>
      </c>
      <c r="H358" s="79">
        <v>72950000</v>
      </c>
      <c r="I358" s="79">
        <v>143106154</v>
      </c>
      <c r="J358" s="79">
        <v>0</v>
      </c>
      <c r="K358" s="79">
        <v>7</v>
      </c>
      <c r="L358" s="79">
        <v>8</v>
      </c>
      <c r="M358" s="79">
        <v>12</v>
      </c>
      <c r="N358" s="90">
        <v>9005</v>
      </c>
    </row>
    <row r="359" spans="1:14">
      <c r="A359" s="78">
        <v>1073700380</v>
      </c>
      <c r="B359" s="79">
        <v>54</v>
      </c>
      <c r="C359" s="79">
        <v>1</v>
      </c>
      <c r="D359" s="79">
        <v>8</v>
      </c>
      <c r="E359" s="79">
        <v>2</v>
      </c>
      <c r="F359" s="79">
        <v>6540322.75</v>
      </c>
      <c r="G359" s="79">
        <v>15000000</v>
      </c>
      <c r="H359" s="79">
        <v>0</v>
      </c>
      <c r="I359" s="79">
        <v>73889400</v>
      </c>
      <c r="J359" s="79">
        <v>0</v>
      </c>
      <c r="K359" s="79">
        <v>3</v>
      </c>
      <c r="L359" s="79">
        <v>16</v>
      </c>
      <c r="M359" s="79">
        <v>10</v>
      </c>
      <c r="N359" s="90">
        <v>9002</v>
      </c>
    </row>
    <row r="360" spans="1:14">
      <c r="A360" s="78">
        <v>1072709481</v>
      </c>
      <c r="B360" s="79">
        <v>57</v>
      </c>
      <c r="C360" s="79">
        <v>4</v>
      </c>
      <c r="D360" s="79">
        <v>5</v>
      </c>
      <c r="E360" s="79">
        <v>2</v>
      </c>
      <c r="F360" s="79">
        <v>2890940.833333333</v>
      </c>
      <c r="G360" s="79">
        <v>34355783.710000001</v>
      </c>
      <c r="H360" s="79">
        <v>0</v>
      </c>
      <c r="I360" s="79">
        <v>57185042</v>
      </c>
      <c r="J360" s="79">
        <v>0</v>
      </c>
      <c r="K360" s="79">
        <v>1</v>
      </c>
      <c r="L360" s="79">
        <v>3</v>
      </c>
      <c r="M360" s="79">
        <v>2</v>
      </c>
      <c r="N360" s="90">
        <v>9006</v>
      </c>
    </row>
    <row r="361" spans="1:14">
      <c r="A361" s="78">
        <v>1023904082</v>
      </c>
      <c r="B361" s="79">
        <v>51</v>
      </c>
      <c r="C361" s="79">
        <v>3</v>
      </c>
      <c r="D361" s="79">
        <v>7</v>
      </c>
      <c r="E361" s="79">
        <v>4</v>
      </c>
      <c r="F361" s="79">
        <v>5475000</v>
      </c>
      <c r="G361" s="79">
        <v>86000000</v>
      </c>
      <c r="H361" s="79">
        <v>8364232.3999999985</v>
      </c>
      <c r="I361" s="79">
        <v>90864424</v>
      </c>
      <c r="J361" s="79">
        <v>0</v>
      </c>
      <c r="K361" s="79">
        <v>2</v>
      </c>
      <c r="L361" s="79">
        <v>9</v>
      </c>
      <c r="M361" s="79">
        <v>7</v>
      </c>
      <c r="N361" s="90">
        <v>9003</v>
      </c>
    </row>
    <row r="362" spans="1:14">
      <c r="A362" s="78">
        <v>55058995</v>
      </c>
      <c r="B362" s="79">
        <v>94</v>
      </c>
      <c r="C362" s="79">
        <v>5</v>
      </c>
      <c r="D362" s="79">
        <v>9</v>
      </c>
      <c r="E362" s="79">
        <v>2</v>
      </c>
      <c r="F362" s="79">
        <v>4933502.083333333</v>
      </c>
      <c r="G362" s="79">
        <v>13000000</v>
      </c>
      <c r="H362" s="79">
        <v>0</v>
      </c>
      <c r="I362" s="79">
        <v>56270914</v>
      </c>
      <c r="J362" s="79">
        <v>0</v>
      </c>
      <c r="K362" s="79">
        <v>0</v>
      </c>
      <c r="L362" s="79">
        <v>1</v>
      </c>
      <c r="M362" s="79">
        <v>0</v>
      </c>
      <c r="N362" s="90">
        <v>9006</v>
      </c>
    </row>
    <row r="363" spans="1:14">
      <c r="A363" s="78">
        <v>1023940901</v>
      </c>
      <c r="B363" s="79">
        <v>44</v>
      </c>
      <c r="C363" s="79">
        <v>1</v>
      </c>
      <c r="D363" s="79">
        <v>11</v>
      </c>
      <c r="E363" s="79">
        <v>4</v>
      </c>
      <c r="F363" s="79">
        <v>9840000</v>
      </c>
      <c r="G363" s="79">
        <v>41200000</v>
      </c>
      <c r="H363" s="79">
        <v>0</v>
      </c>
      <c r="I363" s="79">
        <v>36333000</v>
      </c>
      <c r="J363" s="79">
        <v>0</v>
      </c>
      <c r="K363" s="79">
        <v>4</v>
      </c>
      <c r="L363" s="79">
        <v>4</v>
      </c>
      <c r="M363" s="79">
        <v>3</v>
      </c>
      <c r="N363" s="90">
        <v>9003</v>
      </c>
    </row>
    <row r="364" spans="1:14">
      <c r="A364" s="78">
        <v>98715801</v>
      </c>
      <c r="B364" s="79">
        <v>12</v>
      </c>
      <c r="C364" s="79">
        <v>0</v>
      </c>
      <c r="D364" s="79">
        <v>6</v>
      </c>
      <c r="E364" s="79">
        <v>0</v>
      </c>
      <c r="F364" s="79">
        <v>902500</v>
      </c>
      <c r="G364" s="79">
        <v>66206695.870000005</v>
      </c>
      <c r="H364" s="79">
        <v>0</v>
      </c>
      <c r="I364" s="79">
        <v>51486000</v>
      </c>
      <c r="J364" s="79">
        <v>0</v>
      </c>
      <c r="K364" s="79">
        <v>2</v>
      </c>
      <c r="L364" s="79">
        <v>4</v>
      </c>
      <c r="M364" s="79">
        <v>8</v>
      </c>
      <c r="N364" s="90">
        <v>9001</v>
      </c>
    </row>
    <row r="365" spans="1:14">
      <c r="A365" s="78">
        <v>1000468159</v>
      </c>
      <c r="B365" s="79">
        <v>201</v>
      </c>
      <c r="C365" s="79">
        <v>3</v>
      </c>
      <c r="D365" s="79">
        <v>11</v>
      </c>
      <c r="E365" s="79">
        <v>4</v>
      </c>
      <c r="F365" s="79">
        <v>2475416.6666666665</v>
      </c>
      <c r="G365" s="79">
        <v>5300000</v>
      </c>
      <c r="H365" s="79">
        <v>4431320.3499999996</v>
      </c>
      <c r="I365" s="79">
        <v>69780340</v>
      </c>
      <c r="J365" s="79">
        <v>0</v>
      </c>
      <c r="K365" s="79">
        <v>1</v>
      </c>
      <c r="L365" s="79">
        <v>2</v>
      </c>
      <c r="M365" s="79">
        <v>1</v>
      </c>
      <c r="N365" s="90">
        <v>9003</v>
      </c>
    </row>
    <row r="366" spans="1:14">
      <c r="A366" s="78">
        <v>1024540551</v>
      </c>
      <c r="B366" s="79">
        <v>52</v>
      </c>
      <c r="C366" s="79">
        <v>3</v>
      </c>
      <c r="D366" s="79">
        <v>12</v>
      </c>
      <c r="E366" s="79">
        <v>6</v>
      </c>
      <c r="F366" s="79">
        <v>7475726</v>
      </c>
      <c r="G366" s="79">
        <v>94700000</v>
      </c>
      <c r="H366" s="79">
        <v>16500000</v>
      </c>
      <c r="I366" s="79">
        <v>111952257</v>
      </c>
      <c r="J366" s="79">
        <v>0</v>
      </c>
      <c r="K366" s="79">
        <v>5</v>
      </c>
      <c r="L366" s="79">
        <v>6</v>
      </c>
      <c r="M366" s="79">
        <v>5</v>
      </c>
      <c r="N366" s="90">
        <v>9006</v>
      </c>
    </row>
    <row r="367" spans="1:14">
      <c r="A367" s="78">
        <v>1088256620</v>
      </c>
      <c r="B367" s="79">
        <v>74</v>
      </c>
      <c r="C367" s="79">
        <v>6</v>
      </c>
      <c r="D367" s="79">
        <v>9</v>
      </c>
      <c r="E367" s="79">
        <v>10</v>
      </c>
      <c r="F367" s="79">
        <v>10560000</v>
      </c>
      <c r="G367" s="79">
        <v>50000000</v>
      </c>
      <c r="H367" s="79">
        <v>29578232.559999999</v>
      </c>
      <c r="I367" s="79">
        <v>105079714</v>
      </c>
      <c r="J367" s="79">
        <v>0</v>
      </c>
      <c r="K367" s="79">
        <v>2</v>
      </c>
      <c r="L367" s="79">
        <v>1</v>
      </c>
      <c r="M367" s="79">
        <v>2</v>
      </c>
      <c r="N367" s="90">
        <v>9003</v>
      </c>
    </row>
    <row r="368" spans="1:14">
      <c r="A368" s="78">
        <v>1088015479</v>
      </c>
      <c r="B368" s="79">
        <v>11</v>
      </c>
      <c r="C368" s="79">
        <v>0</v>
      </c>
      <c r="D368" s="79">
        <v>5</v>
      </c>
      <c r="E368" s="79">
        <v>3</v>
      </c>
      <c r="F368" s="79">
        <v>3565000</v>
      </c>
      <c r="G368" s="79">
        <v>73500000</v>
      </c>
      <c r="H368" s="79">
        <v>58100000</v>
      </c>
      <c r="I368" s="79">
        <v>29526430</v>
      </c>
      <c r="J368" s="79">
        <v>111591000</v>
      </c>
      <c r="K368" s="79">
        <v>2</v>
      </c>
      <c r="L368" s="79">
        <v>3</v>
      </c>
      <c r="M368" s="79">
        <v>2</v>
      </c>
      <c r="N368" s="90">
        <v>9007</v>
      </c>
    </row>
    <row r="369" spans="1:14">
      <c r="A369" s="78">
        <v>75106516</v>
      </c>
      <c r="B369" s="79">
        <v>38</v>
      </c>
      <c r="C369" s="79">
        <v>0</v>
      </c>
      <c r="D369" s="79">
        <v>4</v>
      </c>
      <c r="E369" s="79">
        <v>2</v>
      </c>
      <c r="F369" s="79">
        <v>789166.66666666651</v>
      </c>
      <c r="G369" s="79">
        <v>15000000</v>
      </c>
      <c r="H369" s="79">
        <v>0</v>
      </c>
      <c r="I369" s="79">
        <v>87039712</v>
      </c>
      <c r="J369" s="79">
        <v>0</v>
      </c>
      <c r="K369" s="79">
        <v>2</v>
      </c>
      <c r="L369" s="79">
        <v>4</v>
      </c>
      <c r="M369" s="79">
        <v>2</v>
      </c>
      <c r="N369" s="90">
        <v>9007</v>
      </c>
    </row>
    <row r="370" spans="1:14">
      <c r="A370" s="78">
        <v>1019018671</v>
      </c>
      <c r="B370" s="79">
        <v>29</v>
      </c>
      <c r="C370" s="79">
        <v>0</v>
      </c>
      <c r="D370" s="79">
        <v>7</v>
      </c>
      <c r="E370" s="79">
        <v>3</v>
      </c>
      <c r="F370" s="79">
        <v>2645000</v>
      </c>
      <c r="G370" s="79">
        <v>57500000</v>
      </c>
      <c r="H370" s="79">
        <v>0</v>
      </c>
      <c r="I370" s="79">
        <v>100109494</v>
      </c>
      <c r="J370" s="79">
        <v>0</v>
      </c>
      <c r="K370" s="79">
        <v>2</v>
      </c>
      <c r="L370" s="79">
        <v>2</v>
      </c>
      <c r="M370" s="79">
        <v>2</v>
      </c>
      <c r="N370" s="90">
        <v>9009</v>
      </c>
    </row>
    <row r="371" spans="1:14">
      <c r="A371" s="78">
        <v>1144130200</v>
      </c>
      <c r="B371" s="79">
        <v>44</v>
      </c>
      <c r="C371" s="79">
        <v>2</v>
      </c>
      <c r="D371" s="79">
        <v>6</v>
      </c>
      <c r="E371" s="79">
        <v>0</v>
      </c>
      <c r="F371" s="79">
        <v>1415000</v>
      </c>
      <c r="G371" s="79">
        <v>20885000</v>
      </c>
      <c r="H371" s="79">
        <v>0</v>
      </c>
      <c r="I371" s="79">
        <v>75000947</v>
      </c>
      <c r="J371" s="79">
        <v>0</v>
      </c>
      <c r="K371" s="79">
        <v>5</v>
      </c>
      <c r="L371" s="79">
        <v>6</v>
      </c>
      <c r="M371" s="79">
        <v>6</v>
      </c>
      <c r="N371" s="90">
        <v>9005</v>
      </c>
    </row>
    <row r="372" spans="1:14">
      <c r="A372" s="78">
        <v>1023004085</v>
      </c>
      <c r="B372" s="79">
        <v>114</v>
      </c>
      <c r="C372" s="79">
        <v>3</v>
      </c>
      <c r="D372" s="79">
        <v>5</v>
      </c>
      <c r="E372" s="79">
        <v>3</v>
      </c>
      <c r="F372" s="79">
        <v>0</v>
      </c>
      <c r="G372" s="79">
        <v>0</v>
      </c>
      <c r="H372" s="79">
        <v>0</v>
      </c>
      <c r="I372" s="79">
        <v>83580501</v>
      </c>
      <c r="J372" s="79">
        <v>0</v>
      </c>
      <c r="K372" s="79">
        <v>0</v>
      </c>
      <c r="L372" s="79">
        <v>1</v>
      </c>
      <c r="M372" s="79">
        <v>2</v>
      </c>
      <c r="N372" s="90">
        <v>9003</v>
      </c>
    </row>
    <row r="373" spans="1:14">
      <c r="A373" s="78">
        <v>16788624</v>
      </c>
      <c r="B373" s="79">
        <v>212</v>
      </c>
      <c r="C373" s="79">
        <v>2</v>
      </c>
      <c r="D373" s="79">
        <v>12</v>
      </c>
      <c r="E373" s="79">
        <v>4</v>
      </c>
      <c r="F373" s="79">
        <v>5535000</v>
      </c>
      <c r="G373" s="79">
        <v>47500000</v>
      </c>
      <c r="H373" s="79">
        <v>0</v>
      </c>
      <c r="I373" s="79">
        <v>76554000</v>
      </c>
      <c r="J373" s="79">
        <v>0</v>
      </c>
      <c r="K373" s="79">
        <v>3</v>
      </c>
      <c r="L373" s="79">
        <v>9</v>
      </c>
      <c r="M373" s="79">
        <v>2</v>
      </c>
      <c r="N373" s="90">
        <v>9009</v>
      </c>
    </row>
    <row r="374" spans="1:14">
      <c r="A374" s="78">
        <v>1070948005</v>
      </c>
      <c r="B374" s="79">
        <v>36</v>
      </c>
      <c r="C374" s="79">
        <v>1</v>
      </c>
      <c r="D374" s="79">
        <v>1</v>
      </c>
      <c r="E374" s="79">
        <v>0</v>
      </c>
      <c r="F374" s="79">
        <v>1415000</v>
      </c>
      <c r="G374" s="79">
        <v>0</v>
      </c>
      <c r="H374" s="79">
        <v>0</v>
      </c>
      <c r="I374" s="79">
        <v>720000</v>
      </c>
      <c r="J374" s="79">
        <v>0</v>
      </c>
      <c r="K374" s="79">
        <v>0</v>
      </c>
      <c r="L374" s="79">
        <v>0</v>
      </c>
      <c r="M374" s="79">
        <v>0</v>
      </c>
      <c r="N374" s="90">
        <v>9004</v>
      </c>
    </row>
    <row r="375" spans="1:14">
      <c r="A375" s="78">
        <v>1090465063</v>
      </c>
      <c r="B375" s="79">
        <v>0</v>
      </c>
      <c r="C375" s="79">
        <v>0</v>
      </c>
      <c r="D375" s="79">
        <v>0</v>
      </c>
      <c r="E375" s="79">
        <v>0</v>
      </c>
      <c r="F375" s="79">
        <v>0</v>
      </c>
      <c r="G375" s="79">
        <v>0</v>
      </c>
      <c r="H375" s="79">
        <v>0</v>
      </c>
      <c r="I375" s="79">
        <v>0</v>
      </c>
      <c r="J375" s="79">
        <v>0</v>
      </c>
      <c r="K375" s="79">
        <v>0</v>
      </c>
      <c r="L375" s="79">
        <v>0</v>
      </c>
      <c r="M375" s="79">
        <v>0</v>
      </c>
      <c r="N375" s="90">
        <v>9003</v>
      </c>
    </row>
    <row r="376" spans="1:14">
      <c r="A376" s="78">
        <v>35536840</v>
      </c>
      <c r="B376" s="79">
        <v>129</v>
      </c>
      <c r="C376" s="79">
        <v>7</v>
      </c>
      <c r="D376" s="79">
        <v>5</v>
      </c>
      <c r="E376" s="79">
        <v>3</v>
      </c>
      <c r="F376" s="79">
        <v>3204548.3333333335</v>
      </c>
      <c r="G376" s="79">
        <v>116880000</v>
      </c>
      <c r="H376" s="79">
        <v>0</v>
      </c>
      <c r="I376" s="79">
        <v>65028000</v>
      </c>
      <c r="J376" s="79">
        <v>40000000</v>
      </c>
      <c r="K376" s="79">
        <v>0</v>
      </c>
      <c r="L376" s="79">
        <v>1</v>
      </c>
      <c r="M376" s="79">
        <v>1</v>
      </c>
      <c r="N376" s="90">
        <v>9007</v>
      </c>
    </row>
    <row r="377" spans="1:14">
      <c r="A377" s="78">
        <v>16934969</v>
      </c>
      <c r="B377" s="79">
        <v>70</v>
      </c>
      <c r="C377" s="79">
        <v>4</v>
      </c>
      <c r="D377" s="79">
        <v>14</v>
      </c>
      <c r="E377" s="79">
        <v>3</v>
      </c>
      <c r="F377" s="79">
        <v>3895000</v>
      </c>
      <c r="G377" s="79">
        <v>140200000</v>
      </c>
      <c r="H377" s="79">
        <v>40000000</v>
      </c>
      <c r="I377" s="79">
        <v>68942711</v>
      </c>
      <c r="J377" s="79">
        <v>0</v>
      </c>
      <c r="K377" s="79">
        <v>3</v>
      </c>
      <c r="L377" s="79">
        <v>7</v>
      </c>
      <c r="M377" s="79">
        <v>3</v>
      </c>
      <c r="N377" s="90">
        <v>9009</v>
      </c>
    </row>
    <row r="378" spans="1:14">
      <c r="A378" s="78">
        <v>1014224368</v>
      </c>
      <c r="B378" s="79">
        <v>39</v>
      </c>
      <c r="C378" s="79">
        <v>2</v>
      </c>
      <c r="D378" s="79">
        <v>6</v>
      </c>
      <c r="E378" s="79">
        <v>0</v>
      </c>
      <c r="F378" s="79">
        <v>-55141</v>
      </c>
      <c r="G378" s="79">
        <v>16200000</v>
      </c>
      <c r="H378" s="79">
        <v>0</v>
      </c>
      <c r="I378" s="79">
        <v>29410000</v>
      </c>
      <c r="J378" s="79">
        <v>0</v>
      </c>
      <c r="K378" s="79">
        <v>0</v>
      </c>
      <c r="L378" s="79">
        <v>0</v>
      </c>
      <c r="M378" s="79">
        <v>0</v>
      </c>
      <c r="N378" s="90">
        <v>9008</v>
      </c>
    </row>
    <row r="379" spans="1:14">
      <c r="A379" s="78">
        <v>8104319</v>
      </c>
      <c r="B379" s="79">
        <v>13</v>
      </c>
      <c r="C379" s="79">
        <v>1</v>
      </c>
      <c r="D379" s="79">
        <v>18</v>
      </c>
      <c r="E379" s="79">
        <v>2</v>
      </c>
      <c r="F379" s="79">
        <v>3690000</v>
      </c>
      <c r="G379" s="79">
        <v>50000000</v>
      </c>
      <c r="H379" s="79">
        <v>0</v>
      </c>
      <c r="I379" s="79">
        <v>132669800</v>
      </c>
      <c r="J379" s="79">
        <v>0</v>
      </c>
      <c r="K379" s="79">
        <v>2</v>
      </c>
      <c r="L379" s="79">
        <v>4</v>
      </c>
      <c r="M379" s="79">
        <v>4</v>
      </c>
      <c r="N379" s="90">
        <v>9005</v>
      </c>
    </row>
    <row r="380" spans="1:14">
      <c r="A380" s="78">
        <v>43702565</v>
      </c>
      <c r="B380" s="79">
        <v>34</v>
      </c>
      <c r="C380" s="79">
        <v>4</v>
      </c>
      <c r="D380" s="79">
        <v>7</v>
      </c>
      <c r="E380" s="79">
        <v>2</v>
      </c>
      <c r="F380" s="79">
        <v>2460000</v>
      </c>
      <c r="G380" s="79">
        <v>94900000</v>
      </c>
      <c r="H380" s="79">
        <v>18000000</v>
      </c>
      <c r="I380" s="79">
        <v>10345000</v>
      </c>
      <c r="J380" s="79">
        <v>0</v>
      </c>
      <c r="K380" s="79">
        <v>6</v>
      </c>
      <c r="L380" s="79">
        <v>5</v>
      </c>
      <c r="M380" s="79">
        <v>7</v>
      </c>
      <c r="N380" s="90">
        <v>9003</v>
      </c>
    </row>
    <row r="381" spans="1:14">
      <c r="A381" s="78">
        <v>1118806722</v>
      </c>
      <c r="B381" s="79">
        <v>71</v>
      </c>
      <c r="C381" s="79">
        <v>4</v>
      </c>
      <c r="D381" s="79">
        <v>8</v>
      </c>
      <c r="E381" s="79">
        <v>0</v>
      </c>
      <c r="F381" s="79">
        <v>2030000</v>
      </c>
      <c r="G381" s="79">
        <v>6200000</v>
      </c>
      <c r="H381" s="79">
        <v>0</v>
      </c>
      <c r="I381" s="79">
        <v>41800000</v>
      </c>
      <c r="J381" s="79">
        <v>0</v>
      </c>
      <c r="K381" s="79">
        <v>0</v>
      </c>
      <c r="L381" s="79">
        <v>6</v>
      </c>
      <c r="M381" s="79">
        <v>13</v>
      </c>
      <c r="N381" s="90">
        <v>9009</v>
      </c>
    </row>
    <row r="382" spans="1:14">
      <c r="A382" s="78">
        <v>1088034671</v>
      </c>
      <c r="B382" s="79">
        <v>79</v>
      </c>
      <c r="C382" s="79">
        <v>1</v>
      </c>
      <c r="D382" s="79">
        <v>9</v>
      </c>
      <c r="E382" s="79">
        <v>0</v>
      </c>
      <c r="F382" s="79">
        <v>3750000</v>
      </c>
      <c r="G382" s="79">
        <v>35000000</v>
      </c>
      <c r="H382" s="79">
        <v>0</v>
      </c>
      <c r="I382" s="79">
        <v>70252948</v>
      </c>
      <c r="J382" s="79">
        <v>0</v>
      </c>
      <c r="K382" s="79">
        <v>2</v>
      </c>
      <c r="L382" s="79">
        <v>1</v>
      </c>
      <c r="M382" s="79">
        <v>2</v>
      </c>
      <c r="N382" s="90">
        <v>9008</v>
      </c>
    </row>
    <row r="383" spans="1:14">
      <c r="A383" s="78">
        <v>35353550</v>
      </c>
      <c r="B383" s="79">
        <v>59</v>
      </c>
      <c r="C383" s="79">
        <v>2</v>
      </c>
      <c r="D383" s="79">
        <v>2</v>
      </c>
      <c r="E383" s="79">
        <v>1</v>
      </c>
      <c r="F383" s="79">
        <v>3341559.1666666665</v>
      </c>
      <c r="G383" s="79">
        <v>802814.90000000037</v>
      </c>
      <c r="H383" s="79">
        <v>0</v>
      </c>
      <c r="I383" s="79">
        <v>4010900</v>
      </c>
      <c r="J383" s="79">
        <v>0</v>
      </c>
      <c r="K383" s="79">
        <v>0</v>
      </c>
      <c r="L383" s="79">
        <v>5</v>
      </c>
      <c r="M383" s="79">
        <v>2</v>
      </c>
      <c r="N383" s="90">
        <v>9008</v>
      </c>
    </row>
    <row r="384" spans="1:14">
      <c r="A384" s="78">
        <v>1140842460</v>
      </c>
      <c r="B384" s="79">
        <v>74</v>
      </c>
      <c r="C384" s="79">
        <v>4</v>
      </c>
      <c r="D384" s="79">
        <v>11</v>
      </c>
      <c r="E384" s="79">
        <v>0</v>
      </c>
      <c r="F384" s="79">
        <v>6150000</v>
      </c>
      <c r="G384" s="79">
        <v>21200000</v>
      </c>
      <c r="H384" s="79">
        <v>0</v>
      </c>
      <c r="I384" s="79">
        <v>20844000</v>
      </c>
      <c r="J384" s="79">
        <v>0</v>
      </c>
      <c r="K384" s="79">
        <v>4</v>
      </c>
      <c r="L384" s="79">
        <v>10</v>
      </c>
      <c r="M384" s="79">
        <v>11</v>
      </c>
      <c r="N384" s="90">
        <v>9004</v>
      </c>
    </row>
    <row r="385" spans="1:14">
      <c r="A385" s="78">
        <v>1030623687</v>
      </c>
      <c r="B385" s="79">
        <v>55</v>
      </c>
      <c r="C385" s="79">
        <v>2</v>
      </c>
      <c r="D385" s="79">
        <v>6</v>
      </c>
      <c r="E385" s="79">
        <v>2</v>
      </c>
      <c r="F385" s="79">
        <v>1640000</v>
      </c>
      <c r="G385" s="79">
        <v>36000000</v>
      </c>
      <c r="H385" s="79">
        <v>13528213.539999999</v>
      </c>
      <c r="I385" s="79">
        <v>28038600</v>
      </c>
      <c r="J385" s="79">
        <v>0</v>
      </c>
      <c r="K385" s="79">
        <v>1</v>
      </c>
      <c r="L385" s="79">
        <v>3</v>
      </c>
      <c r="M385" s="79">
        <v>3</v>
      </c>
      <c r="N385" s="90">
        <v>9005</v>
      </c>
    </row>
    <row r="386" spans="1:14">
      <c r="A386" s="78">
        <v>1018489502</v>
      </c>
      <c r="B386" s="79">
        <v>0</v>
      </c>
      <c r="C386" s="79">
        <v>0</v>
      </c>
      <c r="D386" s="79">
        <v>0</v>
      </c>
      <c r="E386" s="79">
        <v>3</v>
      </c>
      <c r="F386" s="79">
        <v>0</v>
      </c>
      <c r="G386" s="79">
        <v>0</v>
      </c>
      <c r="H386" s="79">
        <v>0</v>
      </c>
      <c r="I386" s="79">
        <v>0</v>
      </c>
      <c r="J386" s="79">
        <v>0</v>
      </c>
      <c r="K386" s="79">
        <v>0</v>
      </c>
      <c r="L386" s="79">
        <v>1</v>
      </c>
      <c r="M386" s="79">
        <v>3</v>
      </c>
      <c r="N386" s="90">
        <v>9003</v>
      </c>
    </row>
    <row r="387" spans="1:14">
      <c r="A387" s="78">
        <v>1128281637</v>
      </c>
      <c r="B387" s="79">
        <v>18</v>
      </c>
      <c r="C387" s="79">
        <v>1</v>
      </c>
      <c r="D387" s="79">
        <v>5</v>
      </c>
      <c r="E387" s="79">
        <v>1</v>
      </c>
      <c r="F387" s="79">
        <v>1451000</v>
      </c>
      <c r="G387" s="79">
        <v>87112406</v>
      </c>
      <c r="H387" s="79">
        <v>0</v>
      </c>
      <c r="I387" s="79">
        <v>41479000</v>
      </c>
      <c r="J387" s="79">
        <v>0</v>
      </c>
      <c r="K387" s="79">
        <v>3</v>
      </c>
      <c r="L387" s="79">
        <v>5</v>
      </c>
      <c r="M387" s="79">
        <v>4</v>
      </c>
      <c r="N387" s="90">
        <v>9007</v>
      </c>
    </row>
    <row r="388" spans="1:14">
      <c r="A388" s="78">
        <v>1140831173</v>
      </c>
      <c r="B388" s="79">
        <v>52</v>
      </c>
      <c r="C388" s="79">
        <v>0</v>
      </c>
      <c r="D388" s="79">
        <v>7</v>
      </c>
      <c r="E388" s="79">
        <v>1</v>
      </c>
      <c r="F388" s="79">
        <v>4750416.666666667</v>
      </c>
      <c r="G388" s="79">
        <v>31800000</v>
      </c>
      <c r="H388" s="79">
        <v>0</v>
      </c>
      <c r="I388" s="79">
        <v>49202334</v>
      </c>
      <c r="J388" s="79">
        <v>0</v>
      </c>
      <c r="K388" s="79">
        <v>2</v>
      </c>
      <c r="L388" s="79">
        <v>7</v>
      </c>
      <c r="M388" s="79">
        <v>13</v>
      </c>
      <c r="N388" s="90">
        <v>9003</v>
      </c>
    </row>
    <row r="389" spans="1:14">
      <c r="A389" s="78">
        <v>33366411</v>
      </c>
      <c r="B389" s="79">
        <v>94</v>
      </c>
      <c r="C389" s="79">
        <v>7</v>
      </c>
      <c r="D389" s="79">
        <v>12</v>
      </c>
      <c r="E389" s="79">
        <v>3</v>
      </c>
      <c r="F389" s="79">
        <v>6150000</v>
      </c>
      <c r="G389" s="79">
        <v>147600000</v>
      </c>
      <c r="H389" s="79">
        <v>0</v>
      </c>
      <c r="I389" s="79">
        <v>107905800</v>
      </c>
      <c r="J389" s="79">
        <v>0</v>
      </c>
      <c r="K389" s="79">
        <v>2</v>
      </c>
      <c r="L389" s="79">
        <v>2</v>
      </c>
      <c r="M389" s="79">
        <v>2</v>
      </c>
      <c r="N389" s="90">
        <v>9006</v>
      </c>
    </row>
    <row r="390" spans="1:14">
      <c r="A390" s="78">
        <v>36307362</v>
      </c>
      <c r="B390" s="79">
        <v>72</v>
      </c>
      <c r="C390" s="79">
        <v>3</v>
      </c>
      <c r="D390" s="79">
        <v>12</v>
      </c>
      <c r="E390" s="79">
        <v>0</v>
      </c>
      <c r="F390" s="79">
        <v>6765000</v>
      </c>
      <c r="G390" s="79">
        <v>157900000</v>
      </c>
      <c r="H390" s="79">
        <v>0</v>
      </c>
      <c r="I390" s="79">
        <v>98486895</v>
      </c>
      <c r="J390" s="79">
        <v>0</v>
      </c>
      <c r="K390" s="79">
        <v>5</v>
      </c>
      <c r="L390" s="79">
        <v>5</v>
      </c>
      <c r="M390" s="79">
        <v>4</v>
      </c>
      <c r="N390" s="90">
        <v>9003</v>
      </c>
    </row>
    <row r="391" spans="1:14">
      <c r="A391" s="78">
        <v>1024535146</v>
      </c>
      <c r="B391" s="79">
        <v>73</v>
      </c>
      <c r="C391" s="79">
        <v>1</v>
      </c>
      <c r="D391" s="79">
        <v>8</v>
      </c>
      <c r="E391" s="79">
        <v>0</v>
      </c>
      <c r="F391" s="79">
        <v>0</v>
      </c>
      <c r="G391" s="79">
        <v>109794868.97</v>
      </c>
      <c r="H391" s="79">
        <v>0</v>
      </c>
      <c r="I391" s="79">
        <v>4886150</v>
      </c>
      <c r="J391" s="79">
        <v>0</v>
      </c>
      <c r="K391" s="79">
        <v>1</v>
      </c>
      <c r="L391" s="79">
        <v>4</v>
      </c>
      <c r="M391" s="79">
        <v>2</v>
      </c>
      <c r="N391" s="90">
        <v>9006</v>
      </c>
    </row>
    <row r="392" spans="1:14">
      <c r="A392" s="78">
        <v>32781444</v>
      </c>
      <c r="B392" s="79">
        <v>33</v>
      </c>
      <c r="C392" s="79">
        <v>2</v>
      </c>
      <c r="D392" s="79">
        <v>9</v>
      </c>
      <c r="E392" s="79">
        <v>1</v>
      </c>
      <c r="F392" s="79">
        <v>4305000</v>
      </c>
      <c r="G392" s="79">
        <v>73000000</v>
      </c>
      <c r="H392" s="79">
        <v>0</v>
      </c>
      <c r="I392" s="79">
        <v>64839852</v>
      </c>
      <c r="J392" s="79">
        <v>0</v>
      </c>
      <c r="K392" s="79">
        <v>1</v>
      </c>
      <c r="L392" s="79">
        <v>8</v>
      </c>
      <c r="M392" s="79">
        <v>5</v>
      </c>
      <c r="N392" s="90">
        <v>9001</v>
      </c>
    </row>
    <row r="393" spans="1:14">
      <c r="A393" s="78">
        <v>23756021</v>
      </c>
      <c r="B393" s="79">
        <v>44</v>
      </c>
      <c r="C393" s="79">
        <v>0</v>
      </c>
      <c r="D393" s="79">
        <v>9</v>
      </c>
      <c r="E393" s="79">
        <v>0</v>
      </c>
      <c r="F393" s="79">
        <v>5165000</v>
      </c>
      <c r="G393" s="79">
        <v>28700000</v>
      </c>
      <c r="H393" s="79">
        <v>10193837.68</v>
      </c>
      <c r="I393" s="79">
        <v>118246438</v>
      </c>
      <c r="J393" s="79">
        <v>0</v>
      </c>
      <c r="K393" s="79">
        <v>5</v>
      </c>
      <c r="L393" s="79">
        <v>5</v>
      </c>
      <c r="M393" s="79">
        <v>6</v>
      </c>
      <c r="N393" s="90">
        <v>9001</v>
      </c>
    </row>
    <row r="394" spans="1:14">
      <c r="A394" s="78">
        <v>37616090</v>
      </c>
      <c r="B394" s="79">
        <v>82</v>
      </c>
      <c r="C394" s="79">
        <v>1</v>
      </c>
      <c r="D394" s="79">
        <v>8</v>
      </c>
      <c r="E394" s="79">
        <v>3</v>
      </c>
      <c r="F394" s="79">
        <v>3075000</v>
      </c>
      <c r="G394" s="79">
        <v>26900000</v>
      </c>
      <c r="H394" s="79">
        <v>0</v>
      </c>
      <c r="I394" s="79">
        <v>28087572</v>
      </c>
      <c r="J394" s="79">
        <v>0</v>
      </c>
      <c r="K394" s="79">
        <v>1</v>
      </c>
      <c r="L394" s="79">
        <v>9</v>
      </c>
      <c r="M394" s="79">
        <v>1</v>
      </c>
      <c r="N394" s="90">
        <v>9004</v>
      </c>
    </row>
    <row r="395" spans="1:14">
      <c r="A395" s="78">
        <v>74374120</v>
      </c>
      <c r="B395" s="79">
        <v>0</v>
      </c>
      <c r="C395" s="79">
        <v>0</v>
      </c>
      <c r="D395" s="79">
        <v>0</v>
      </c>
      <c r="E395" s="79">
        <v>0</v>
      </c>
      <c r="F395" s="79">
        <v>0</v>
      </c>
      <c r="G395" s="79">
        <v>0</v>
      </c>
      <c r="H395" s="79">
        <v>0</v>
      </c>
      <c r="I395" s="79">
        <v>0</v>
      </c>
      <c r="J395" s="79">
        <v>0</v>
      </c>
      <c r="K395" s="79">
        <v>0</v>
      </c>
      <c r="L395" s="79">
        <v>0</v>
      </c>
      <c r="M395" s="79">
        <v>0</v>
      </c>
      <c r="N395" s="90">
        <v>9008</v>
      </c>
    </row>
    <row r="396" spans="1:14">
      <c r="A396" s="78">
        <v>1094879531</v>
      </c>
      <c r="B396" s="79">
        <v>74</v>
      </c>
      <c r="C396" s="79">
        <v>3</v>
      </c>
      <c r="D396" s="79">
        <v>20</v>
      </c>
      <c r="E396" s="79">
        <v>3</v>
      </c>
      <c r="F396" s="79">
        <v>9470000</v>
      </c>
      <c r="G396" s="79">
        <v>107400000</v>
      </c>
      <c r="H396" s="79">
        <v>40000000</v>
      </c>
      <c r="I396" s="79">
        <v>80495748</v>
      </c>
      <c r="J396" s="79">
        <v>0</v>
      </c>
      <c r="K396" s="79">
        <v>4</v>
      </c>
      <c r="L396" s="79">
        <v>11</v>
      </c>
      <c r="M396" s="79">
        <v>11</v>
      </c>
      <c r="N396" s="90">
        <v>9001</v>
      </c>
    </row>
    <row r="397" spans="1:14">
      <c r="A397" s="78">
        <v>1010207855</v>
      </c>
      <c r="B397" s="79">
        <v>67</v>
      </c>
      <c r="C397" s="79">
        <v>1</v>
      </c>
      <c r="D397" s="79">
        <v>12</v>
      </c>
      <c r="E397" s="79">
        <v>3</v>
      </c>
      <c r="F397" s="79">
        <v>5903400.666666667</v>
      </c>
      <c r="G397" s="79">
        <v>89589819.370000005</v>
      </c>
      <c r="H397" s="79">
        <v>4235513.92</v>
      </c>
      <c r="I397" s="79">
        <v>41939376</v>
      </c>
      <c r="J397" s="79">
        <v>0</v>
      </c>
      <c r="K397" s="79">
        <v>0</v>
      </c>
      <c r="L397" s="79">
        <v>13</v>
      </c>
      <c r="M397" s="79">
        <v>28</v>
      </c>
      <c r="N397" s="90">
        <v>9009</v>
      </c>
    </row>
    <row r="398" spans="1:14">
      <c r="A398" s="78">
        <v>1040732617</v>
      </c>
      <c r="B398" s="79">
        <v>31</v>
      </c>
      <c r="C398" s="79">
        <v>0</v>
      </c>
      <c r="D398" s="79">
        <v>5</v>
      </c>
      <c r="E398" s="79">
        <v>2</v>
      </c>
      <c r="F398" s="79">
        <v>6652000</v>
      </c>
      <c r="G398" s="79">
        <v>6000000</v>
      </c>
      <c r="H398" s="79">
        <v>0</v>
      </c>
      <c r="I398" s="79">
        <v>58255283</v>
      </c>
      <c r="J398" s="79">
        <v>0</v>
      </c>
      <c r="K398" s="79">
        <v>4</v>
      </c>
      <c r="L398" s="79">
        <v>4</v>
      </c>
      <c r="M398" s="79">
        <v>4</v>
      </c>
      <c r="N398" s="90">
        <v>9004</v>
      </c>
    </row>
    <row r="399" spans="1:14">
      <c r="A399" s="78">
        <v>1020754373</v>
      </c>
      <c r="B399" s="79">
        <v>77</v>
      </c>
      <c r="C399" s="79">
        <v>3</v>
      </c>
      <c r="D399" s="79">
        <v>10</v>
      </c>
      <c r="E399" s="79">
        <v>2</v>
      </c>
      <c r="F399" s="79">
        <v>4305000</v>
      </c>
      <c r="G399" s="79">
        <v>30000000</v>
      </c>
      <c r="H399" s="79">
        <v>0</v>
      </c>
      <c r="I399" s="79">
        <v>30590000</v>
      </c>
      <c r="J399" s="79">
        <v>0</v>
      </c>
      <c r="K399" s="79">
        <v>2</v>
      </c>
      <c r="L399" s="79">
        <v>7</v>
      </c>
      <c r="M399" s="79">
        <v>1</v>
      </c>
      <c r="N399" s="90">
        <v>9006</v>
      </c>
    </row>
    <row r="400" spans="1:14">
      <c r="A400" s="78">
        <v>1143839146</v>
      </c>
      <c r="B400" s="79">
        <v>73</v>
      </c>
      <c r="C400" s="79">
        <v>6</v>
      </c>
      <c r="D400" s="79">
        <v>13</v>
      </c>
      <c r="E400" s="79">
        <v>5</v>
      </c>
      <c r="F400" s="79">
        <v>12912850.916666666</v>
      </c>
      <c r="G400" s="79">
        <v>244800000</v>
      </c>
      <c r="H400" s="79">
        <v>0</v>
      </c>
      <c r="I400" s="79">
        <v>97403400</v>
      </c>
      <c r="J400" s="79">
        <v>0</v>
      </c>
      <c r="K400" s="79">
        <v>6</v>
      </c>
      <c r="L400" s="79">
        <v>14</v>
      </c>
      <c r="M400" s="79">
        <v>13</v>
      </c>
      <c r="N400" s="90">
        <v>9004</v>
      </c>
    </row>
    <row r="401" spans="1:14">
      <c r="A401" s="78">
        <v>1023925105</v>
      </c>
      <c r="B401" s="79">
        <v>65</v>
      </c>
      <c r="C401" s="79">
        <v>5</v>
      </c>
      <c r="D401" s="79">
        <v>12</v>
      </c>
      <c r="E401" s="79">
        <v>12</v>
      </c>
      <c r="F401" s="79">
        <v>615000</v>
      </c>
      <c r="G401" s="79">
        <v>108700000</v>
      </c>
      <c r="H401" s="79">
        <v>0</v>
      </c>
      <c r="I401" s="79">
        <v>93017458</v>
      </c>
      <c r="J401" s="79">
        <v>0</v>
      </c>
      <c r="K401" s="79">
        <v>0</v>
      </c>
      <c r="L401" s="79">
        <v>10</v>
      </c>
      <c r="M401" s="79">
        <v>0</v>
      </c>
      <c r="N401" s="90">
        <v>9008</v>
      </c>
    </row>
    <row r="402" spans="1:14">
      <c r="A402" s="78">
        <v>94501508</v>
      </c>
      <c r="B402" s="79">
        <v>70</v>
      </c>
      <c r="C402" s="79">
        <v>6</v>
      </c>
      <c r="D402" s="79">
        <v>13</v>
      </c>
      <c r="E402" s="79">
        <v>2</v>
      </c>
      <c r="F402" s="79">
        <v>7010000</v>
      </c>
      <c r="G402" s="79">
        <v>179574507.84999999</v>
      </c>
      <c r="H402" s="79">
        <v>69500000</v>
      </c>
      <c r="I402" s="79">
        <v>46035219</v>
      </c>
      <c r="J402" s="79">
        <v>0</v>
      </c>
      <c r="K402" s="79">
        <v>5</v>
      </c>
      <c r="L402" s="79">
        <v>9</v>
      </c>
      <c r="M402" s="79">
        <v>5</v>
      </c>
      <c r="N402" s="90">
        <v>9006</v>
      </c>
    </row>
    <row r="403" spans="1:14">
      <c r="A403" s="78">
        <v>27604620</v>
      </c>
      <c r="B403" s="79">
        <v>83</v>
      </c>
      <c r="C403" s="79">
        <v>3</v>
      </c>
      <c r="D403" s="79">
        <v>16</v>
      </c>
      <c r="E403" s="79">
        <v>4</v>
      </c>
      <c r="F403" s="79">
        <v>7607500</v>
      </c>
      <c r="G403" s="79">
        <v>84320000</v>
      </c>
      <c r="H403" s="79">
        <v>64000000</v>
      </c>
      <c r="I403" s="79">
        <v>41356845</v>
      </c>
      <c r="J403" s="79">
        <v>0</v>
      </c>
      <c r="K403" s="79">
        <v>6</v>
      </c>
      <c r="L403" s="79">
        <v>17</v>
      </c>
      <c r="M403" s="79">
        <v>19</v>
      </c>
      <c r="N403" s="90">
        <v>9006</v>
      </c>
    </row>
    <row r="404" spans="1:14">
      <c r="A404" s="78">
        <v>1010228073</v>
      </c>
      <c r="B404" s="79">
        <v>61</v>
      </c>
      <c r="C404" s="79">
        <v>6</v>
      </c>
      <c r="D404" s="79">
        <v>3</v>
      </c>
      <c r="E404" s="79">
        <v>1</v>
      </c>
      <c r="F404" s="79">
        <v>2252657.6666666665</v>
      </c>
      <c r="G404" s="79">
        <v>11200000</v>
      </c>
      <c r="H404" s="79">
        <v>0</v>
      </c>
      <c r="I404" s="79">
        <v>19990000</v>
      </c>
      <c r="J404" s="79">
        <v>0</v>
      </c>
      <c r="K404" s="79">
        <v>0</v>
      </c>
      <c r="L404" s="79">
        <v>9</v>
      </c>
      <c r="M404" s="79">
        <v>2</v>
      </c>
      <c r="N404" s="90">
        <v>9006</v>
      </c>
    </row>
    <row r="405" spans="1:14">
      <c r="A405" s="78">
        <v>1020775280</v>
      </c>
      <c r="B405" s="79">
        <v>62</v>
      </c>
      <c r="C405" s="79">
        <v>2</v>
      </c>
      <c r="D405" s="79">
        <v>5</v>
      </c>
      <c r="E405" s="79">
        <v>0</v>
      </c>
      <c r="F405" s="79">
        <v>2645000</v>
      </c>
      <c r="G405" s="79">
        <v>50000000</v>
      </c>
      <c r="H405" s="79">
        <v>0</v>
      </c>
      <c r="I405" s="79">
        <v>9142400</v>
      </c>
      <c r="J405" s="79">
        <v>0</v>
      </c>
      <c r="K405" s="79">
        <v>3</v>
      </c>
      <c r="L405" s="79">
        <v>0</v>
      </c>
      <c r="M405" s="79">
        <v>0</v>
      </c>
      <c r="N405" s="90">
        <v>9001</v>
      </c>
    </row>
    <row r="406" spans="1:14">
      <c r="A406" s="78">
        <v>1030526284</v>
      </c>
      <c r="B406" s="79">
        <v>50</v>
      </c>
      <c r="C406" s="79">
        <v>1</v>
      </c>
      <c r="D406" s="79">
        <v>12</v>
      </c>
      <c r="E406" s="79">
        <v>6</v>
      </c>
      <c r="F406" s="79">
        <v>4675000</v>
      </c>
      <c r="G406" s="79">
        <v>92200000</v>
      </c>
      <c r="H406" s="79">
        <v>0</v>
      </c>
      <c r="I406" s="79">
        <v>59772206</v>
      </c>
      <c r="J406" s="79">
        <v>0</v>
      </c>
      <c r="K406" s="79">
        <v>0</v>
      </c>
      <c r="L406" s="79">
        <v>10</v>
      </c>
      <c r="M406" s="79">
        <v>3</v>
      </c>
      <c r="N406" s="90">
        <v>9005</v>
      </c>
    </row>
    <row r="407" spans="1:14">
      <c r="A407" s="78">
        <v>1057590731</v>
      </c>
      <c r="B407" s="79">
        <v>41</v>
      </c>
      <c r="C407" s="79">
        <v>1</v>
      </c>
      <c r="D407" s="79">
        <v>7</v>
      </c>
      <c r="E407" s="79">
        <v>11</v>
      </c>
      <c r="F407" s="79">
        <v>7995000</v>
      </c>
      <c r="G407" s="79">
        <v>144200000</v>
      </c>
      <c r="H407" s="79">
        <v>22552525.240000002</v>
      </c>
      <c r="I407" s="79">
        <v>110224323</v>
      </c>
      <c r="J407" s="79">
        <v>9590000</v>
      </c>
      <c r="K407" s="79">
        <v>5</v>
      </c>
      <c r="L407" s="79">
        <v>6</v>
      </c>
      <c r="M407" s="79">
        <v>6</v>
      </c>
      <c r="N407" s="90">
        <v>9006</v>
      </c>
    </row>
    <row r="408" spans="1:14">
      <c r="A408" s="78">
        <v>1030541637</v>
      </c>
      <c r="B408" s="79">
        <v>98</v>
      </c>
      <c r="C408" s="79">
        <v>5</v>
      </c>
      <c r="D408" s="79">
        <v>9</v>
      </c>
      <c r="E408" s="79">
        <v>8</v>
      </c>
      <c r="F408" s="79">
        <v>11070000</v>
      </c>
      <c r="G408" s="79">
        <v>109900000</v>
      </c>
      <c r="H408" s="79">
        <v>0</v>
      </c>
      <c r="I408" s="79">
        <v>146098000</v>
      </c>
      <c r="J408" s="79">
        <v>0</v>
      </c>
      <c r="K408" s="79">
        <v>2</v>
      </c>
      <c r="L408" s="79">
        <v>1</v>
      </c>
      <c r="M408" s="79">
        <v>2</v>
      </c>
      <c r="N408" s="90">
        <v>9006</v>
      </c>
    </row>
    <row r="409" spans="1:14">
      <c r="A409" s="78">
        <v>55304355</v>
      </c>
      <c r="B409" s="79">
        <v>51</v>
      </c>
      <c r="C409" s="79">
        <v>1</v>
      </c>
      <c r="D409" s="79">
        <v>5</v>
      </c>
      <c r="E409" s="79">
        <v>2</v>
      </c>
      <c r="F409" s="79">
        <v>1845000</v>
      </c>
      <c r="G409" s="79">
        <v>17000000</v>
      </c>
      <c r="H409" s="79">
        <v>21018248.009999998</v>
      </c>
      <c r="I409" s="79">
        <v>38807087</v>
      </c>
      <c r="J409" s="79">
        <v>0</v>
      </c>
      <c r="K409" s="79">
        <v>2</v>
      </c>
      <c r="L409" s="79">
        <v>12</v>
      </c>
      <c r="M409" s="79">
        <v>2</v>
      </c>
      <c r="N409" s="90">
        <v>9007</v>
      </c>
    </row>
    <row r="410" spans="1:14">
      <c r="A410" s="78">
        <v>52282393</v>
      </c>
      <c r="B410" s="79">
        <v>66</v>
      </c>
      <c r="C410" s="79">
        <v>13</v>
      </c>
      <c r="D410" s="79">
        <v>11</v>
      </c>
      <c r="E410" s="79">
        <v>5</v>
      </c>
      <c r="F410" s="79">
        <v>4138000</v>
      </c>
      <c r="G410" s="79">
        <v>35000000</v>
      </c>
      <c r="H410" s="79">
        <v>31326504.469999999</v>
      </c>
      <c r="I410" s="79">
        <v>89216623</v>
      </c>
      <c r="J410" s="79">
        <v>0</v>
      </c>
      <c r="K410" s="79">
        <v>7</v>
      </c>
      <c r="L410" s="79">
        <v>5</v>
      </c>
      <c r="M410" s="79">
        <v>14</v>
      </c>
      <c r="N410" s="90">
        <v>9009</v>
      </c>
    </row>
    <row r="411" spans="1:14">
      <c r="A411" s="78">
        <v>1130681417</v>
      </c>
      <c r="B411" s="79">
        <v>132</v>
      </c>
      <c r="C411" s="79">
        <v>8</v>
      </c>
      <c r="D411" s="79">
        <v>21</v>
      </c>
      <c r="E411" s="79">
        <v>4</v>
      </c>
      <c r="F411" s="79">
        <v>1660000</v>
      </c>
      <c r="G411" s="79">
        <v>36000000</v>
      </c>
      <c r="H411" s="79">
        <v>0</v>
      </c>
      <c r="I411" s="79">
        <v>161799883</v>
      </c>
      <c r="J411" s="79">
        <v>0</v>
      </c>
      <c r="K411" s="79">
        <v>3</v>
      </c>
      <c r="L411" s="79">
        <v>6</v>
      </c>
      <c r="M411" s="79">
        <v>4</v>
      </c>
      <c r="N411" s="90">
        <v>9005</v>
      </c>
    </row>
    <row r="412" spans="1:14">
      <c r="A412" s="78">
        <v>1072426927</v>
      </c>
      <c r="B412" s="79">
        <v>71</v>
      </c>
      <c r="C412" s="79">
        <v>1</v>
      </c>
      <c r="D412" s="79">
        <v>9</v>
      </c>
      <c r="E412" s="79">
        <v>1</v>
      </c>
      <c r="F412" s="79">
        <v>5720000</v>
      </c>
      <c r="G412" s="79">
        <v>76000000</v>
      </c>
      <c r="H412" s="79">
        <v>20000000</v>
      </c>
      <c r="I412" s="79">
        <v>42464000</v>
      </c>
      <c r="J412" s="79">
        <v>0</v>
      </c>
      <c r="K412" s="79">
        <v>3</v>
      </c>
      <c r="L412" s="79">
        <v>18</v>
      </c>
      <c r="M412" s="79">
        <v>10</v>
      </c>
      <c r="N412" s="90">
        <v>9006</v>
      </c>
    </row>
    <row r="413" spans="1:14">
      <c r="A413" s="78">
        <v>1005148916</v>
      </c>
      <c r="B413" s="79">
        <v>72</v>
      </c>
      <c r="C413" s="79">
        <v>5</v>
      </c>
      <c r="D413" s="79">
        <v>12</v>
      </c>
      <c r="E413" s="79">
        <v>4</v>
      </c>
      <c r="F413" s="79">
        <v>4245000</v>
      </c>
      <c r="G413" s="79">
        <v>29700000</v>
      </c>
      <c r="H413" s="79">
        <v>16000000</v>
      </c>
      <c r="I413" s="79">
        <v>17039000</v>
      </c>
      <c r="J413" s="79">
        <v>0</v>
      </c>
      <c r="K413" s="79">
        <v>2</v>
      </c>
      <c r="L413" s="79">
        <v>11</v>
      </c>
      <c r="M413" s="79">
        <v>5</v>
      </c>
      <c r="N413" s="90">
        <v>9009</v>
      </c>
    </row>
    <row r="414" spans="1:14">
      <c r="A414" s="78">
        <v>1130617338</v>
      </c>
      <c r="B414" s="79">
        <v>11</v>
      </c>
      <c r="C414" s="79">
        <v>1</v>
      </c>
      <c r="D414" s="79">
        <v>4</v>
      </c>
      <c r="E414" s="79">
        <v>3</v>
      </c>
      <c r="F414" s="79">
        <v>3075000</v>
      </c>
      <c r="G414" s="79">
        <v>103000000</v>
      </c>
      <c r="H414" s="79">
        <v>13000000</v>
      </c>
      <c r="I414" s="79">
        <v>23122670</v>
      </c>
      <c r="J414" s="79">
        <v>0</v>
      </c>
      <c r="K414" s="79">
        <v>4</v>
      </c>
      <c r="L414" s="79">
        <v>4</v>
      </c>
      <c r="M414" s="79">
        <v>4</v>
      </c>
      <c r="N414" s="90">
        <v>9001</v>
      </c>
    </row>
    <row r="415" spans="1:14">
      <c r="A415" s="78">
        <v>1144052933</v>
      </c>
      <c r="B415" s="79">
        <v>70</v>
      </c>
      <c r="C415" s="79">
        <v>0</v>
      </c>
      <c r="D415" s="79">
        <v>12</v>
      </c>
      <c r="E415" s="79">
        <v>0</v>
      </c>
      <c r="F415" s="79">
        <v>6335000</v>
      </c>
      <c r="G415" s="79">
        <v>61000000</v>
      </c>
      <c r="H415" s="79">
        <v>27496151.43</v>
      </c>
      <c r="I415" s="79">
        <v>173654703</v>
      </c>
      <c r="J415" s="79">
        <v>0</v>
      </c>
      <c r="K415" s="79">
        <v>4</v>
      </c>
      <c r="L415" s="79">
        <v>8</v>
      </c>
      <c r="M415" s="79">
        <v>5</v>
      </c>
      <c r="N415" s="90">
        <v>9002</v>
      </c>
    </row>
    <row r="416" spans="1:14">
      <c r="A416" s="78">
        <v>1151948923</v>
      </c>
      <c r="B416" s="79">
        <v>19</v>
      </c>
      <c r="C416" s="79">
        <v>0</v>
      </c>
      <c r="D416" s="79">
        <v>5</v>
      </c>
      <c r="E416" s="79">
        <v>3</v>
      </c>
      <c r="F416" s="79">
        <v>2460000</v>
      </c>
      <c r="G416" s="79">
        <v>30000000</v>
      </c>
      <c r="H416" s="79">
        <v>0</v>
      </c>
      <c r="I416" s="79">
        <v>116783698</v>
      </c>
      <c r="J416" s="79">
        <v>0</v>
      </c>
      <c r="K416" s="79">
        <v>1</v>
      </c>
      <c r="L416" s="79">
        <v>1</v>
      </c>
      <c r="M416" s="79">
        <v>1</v>
      </c>
      <c r="N416" s="90">
        <v>9003</v>
      </c>
    </row>
    <row r="417" spans="1:14">
      <c r="A417" s="78">
        <v>1018459690</v>
      </c>
      <c r="B417" s="79">
        <v>64</v>
      </c>
      <c r="C417" s="79">
        <v>3</v>
      </c>
      <c r="D417" s="79">
        <v>13</v>
      </c>
      <c r="E417" s="79">
        <v>2</v>
      </c>
      <c r="F417" s="79">
        <v>6910874</v>
      </c>
      <c r="G417" s="79">
        <v>91978996.049999997</v>
      </c>
      <c r="H417" s="79">
        <v>0</v>
      </c>
      <c r="I417" s="79">
        <v>55833525</v>
      </c>
      <c r="J417" s="79">
        <v>0</v>
      </c>
      <c r="K417" s="79">
        <v>8</v>
      </c>
      <c r="L417" s="79">
        <v>4</v>
      </c>
      <c r="M417" s="79">
        <v>2</v>
      </c>
      <c r="N417" s="90">
        <v>9008</v>
      </c>
    </row>
    <row r="418" spans="1:14">
      <c r="A418" s="78">
        <v>1088292705</v>
      </c>
      <c r="B418" s="79">
        <v>70</v>
      </c>
      <c r="C418" s="79">
        <v>4</v>
      </c>
      <c r="D418" s="79">
        <v>13</v>
      </c>
      <c r="E418" s="79">
        <v>4</v>
      </c>
      <c r="F418" s="79">
        <v>12255315.833333334</v>
      </c>
      <c r="G418" s="79">
        <v>109995454.09</v>
      </c>
      <c r="H418" s="79">
        <v>0</v>
      </c>
      <c r="I418" s="79">
        <v>88945800</v>
      </c>
      <c r="J418" s="79">
        <v>0</v>
      </c>
      <c r="K418" s="79">
        <v>6</v>
      </c>
      <c r="L418" s="79">
        <v>10</v>
      </c>
      <c r="M418" s="79">
        <v>9</v>
      </c>
      <c r="N418" s="90">
        <v>9009</v>
      </c>
    </row>
    <row r="419" spans="1:14">
      <c r="A419" s="78">
        <v>1143856254</v>
      </c>
      <c r="B419" s="79">
        <v>72</v>
      </c>
      <c r="C419" s="79">
        <v>3</v>
      </c>
      <c r="D419" s="79">
        <v>4</v>
      </c>
      <c r="E419" s="79">
        <v>3</v>
      </c>
      <c r="F419" s="79">
        <v>9040000</v>
      </c>
      <c r="G419" s="79">
        <v>80000000</v>
      </c>
      <c r="H419" s="79">
        <v>0</v>
      </c>
      <c r="I419" s="79">
        <v>114860379</v>
      </c>
      <c r="J419" s="79">
        <v>0</v>
      </c>
      <c r="K419" s="79">
        <v>6</v>
      </c>
      <c r="L419" s="79">
        <v>8</v>
      </c>
      <c r="M419" s="79">
        <v>12</v>
      </c>
      <c r="N419" s="90">
        <v>9008</v>
      </c>
    </row>
    <row r="420" spans="1:14">
      <c r="A420" s="78">
        <v>80135347</v>
      </c>
      <c r="B420" s="79">
        <v>54</v>
      </c>
      <c r="C420" s="79">
        <v>2</v>
      </c>
      <c r="D420" s="79">
        <v>12</v>
      </c>
      <c r="E420" s="79">
        <v>0</v>
      </c>
      <c r="F420" s="79">
        <v>9780000</v>
      </c>
      <c r="G420" s="79">
        <v>111370771.34</v>
      </c>
      <c r="H420" s="79">
        <v>63584398.170000002</v>
      </c>
      <c r="I420" s="79">
        <v>49903000</v>
      </c>
      <c r="J420" s="79">
        <v>0</v>
      </c>
      <c r="K420" s="79">
        <v>4</v>
      </c>
      <c r="L420" s="79">
        <v>4</v>
      </c>
      <c r="M420" s="79">
        <v>4</v>
      </c>
      <c r="N420" s="90">
        <v>9007</v>
      </c>
    </row>
    <row r="421" spans="1:14">
      <c r="A421" s="78">
        <v>1064989604</v>
      </c>
      <c r="B421" s="79">
        <v>59</v>
      </c>
      <c r="C421" s="79">
        <v>1</v>
      </c>
      <c r="D421" s="79">
        <v>2</v>
      </c>
      <c r="E421" s="79">
        <v>0</v>
      </c>
      <c r="F421" s="79">
        <v>1266000</v>
      </c>
      <c r="G421" s="79">
        <v>43640000</v>
      </c>
      <c r="H421" s="79">
        <v>0</v>
      </c>
      <c r="I421" s="79">
        <v>22143228</v>
      </c>
      <c r="J421" s="79">
        <v>0</v>
      </c>
      <c r="K421" s="79">
        <v>0</v>
      </c>
      <c r="L421" s="79">
        <v>5</v>
      </c>
      <c r="M421" s="79">
        <v>5</v>
      </c>
      <c r="N421" s="90">
        <v>9001</v>
      </c>
    </row>
    <row r="422" spans="1:14">
      <c r="A422" s="78">
        <v>1140836571</v>
      </c>
      <c r="B422" s="79">
        <v>25</v>
      </c>
      <c r="C422" s="79">
        <v>5</v>
      </c>
      <c r="D422" s="79">
        <v>10</v>
      </c>
      <c r="E422" s="79">
        <v>3</v>
      </c>
      <c r="F422" s="79">
        <v>185000</v>
      </c>
      <c r="G422" s="79">
        <v>1981022.83</v>
      </c>
      <c r="H422" s="79">
        <v>0</v>
      </c>
      <c r="I422" s="79">
        <v>39903596</v>
      </c>
      <c r="J422" s="79">
        <v>0</v>
      </c>
      <c r="K422" s="79">
        <v>2</v>
      </c>
      <c r="L422" s="79">
        <v>8</v>
      </c>
      <c r="M422" s="79">
        <v>7</v>
      </c>
      <c r="N422" s="90">
        <v>9001</v>
      </c>
    </row>
    <row r="423" spans="1:14">
      <c r="A423" s="78">
        <v>1225092537</v>
      </c>
      <c r="B423" s="79">
        <v>45</v>
      </c>
      <c r="C423" s="79">
        <v>2</v>
      </c>
      <c r="D423" s="79">
        <v>6</v>
      </c>
      <c r="E423" s="79">
        <v>5</v>
      </c>
      <c r="F423" s="79">
        <v>2293000</v>
      </c>
      <c r="G423" s="79">
        <v>55350699</v>
      </c>
      <c r="H423" s="79">
        <v>0</v>
      </c>
      <c r="I423" s="79">
        <v>57939359</v>
      </c>
      <c r="J423" s="79">
        <v>32799999.999999996</v>
      </c>
      <c r="K423" s="79">
        <v>1</v>
      </c>
      <c r="L423" s="79">
        <v>10</v>
      </c>
      <c r="M423" s="79">
        <v>1</v>
      </c>
      <c r="N423" s="90">
        <v>9008</v>
      </c>
    </row>
    <row r="424" spans="1:14">
      <c r="A424" s="78">
        <v>1144142801</v>
      </c>
      <c r="B424" s="79">
        <v>83</v>
      </c>
      <c r="C424" s="79">
        <v>7</v>
      </c>
      <c r="D424" s="79">
        <v>7</v>
      </c>
      <c r="E424" s="79">
        <v>1</v>
      </c>
      <c r="F424" s="79">
        <v>7121868.25</v>
      </c>
      <c r="G424" s="79">
        <v>77580500</v>
      </c>
      <c r="H424" s="79">
        <v>0</v>
      </c>
      <c r="I424" s="79">
        <v>86624865</v>
      </c>
      <c r="J424" s="79">
        <v>0</v>
      </c>
      <c r="K424" s="79">
        <v>4</v>
      </c>
      <c r="L424" s="79">
        <v>5</v>
      </c>
      <c r="M424" s="79">
        <v>23</v>
      </c>
      <c r="N424" s="90">
        <v>9008</v>
      </c>
    </row>
    <row r="425" spans="1:14">
      <c r="A425" s="78">
        <v>1047383884</v>
      </c>
      <c r="B425" s="79">
        <v>77</v>
      </c>
      <c r="C425" s="79">
        <v>2</v>
      </c>
      <c r="D425" s="79">
        <v>16</v>
      </c>
      <c r="E425" s="79">
        <v>1</v>
      </c>
      <c r="F425" s="79">
        <v>3690000</v>
      </c>
      <c r="G425" s="79">
        <v>0</v>
      </c>
      <c r="H425" s="79">
        <v>25000000</v>
      </c>
      <c r="I425" s="79">
        <v>21288476</v>
      </c>
      <c r="J425" s="79">
        <v>0</v>
      </c>
      <c r="K425" s="79">
        <v>4</v>
      </c>
      <c r="L425" s="79">
        <v>11</v>
      </c>
      <c r="M425" s="79">
        <v>15</v>
      </c>
      <c r="N425" s="90">
        <v>9006</v>
      </c>
    </row>
    <row r="426" spans="1:14">
      <c r="A426" s="78">
        <v>1015408311</v>
      </c>
      <c r="B426" s="79">
        <v>54</v>
      </c>
      <c r="C426" s="79">
        <v>6</v>
      </c>
      <c r="D426" s="79">
        <v>12</v>
      </c>
      <c r="E426" s="79">
        <v>2</v>
      </c>
      <c r="F426" s="79">
        <v>4430000</v>
      </c>
      <c r="G426" s="79">
        <v>96800000</v>
      </c>
      <c r="H426" s="79">
        <v>17938782.859999999</v>
      </c>
      <c r="I426" s="79">
        <v>46734299</v>
      </c>
      <c r="J426" s="79">
        <v>0</v>
      </c>
      <c r="K426" s="79">
        <v>7</v>
      </c>
      <c r="L426" s="79">
        <v>7</v>
      </c>
      <c r="M426" s="79">
        <v>7</v>
      </c>
      <c r="N426" s="90">
        <v>9002</v>
      </c>
    </row>
    <row r="427" spans="1:14">
      <c r="A427" s="78">
        <v>1071164818</v>
      </c>
      <c r="B427" s="79">
        <v>39</v>
      </c>
      <c r="C427" s="79">
        <v>1</v>
      </c>
      <c r="D427" s="79">
        <v>3</v>
      </c>
      <c r="E427" s="79">
        <v>1</v>
      </c>
      <c r="F427" s="79">
        <v>1845000</v>
      </c>
      <c r="G427" s="79">
        <v>45700000</v>
      </c>
      <c r="H427" s="79">
        <v>0</v>
      </c>
      <c r="I427" s="79">
        <v>37050733</v>
      </c>
      <c r="J427" s="79">
        <v>0</v>
      </c>
      <c r="K427" s="79">
        <v>1</v>
      </c>
      <c r="L427" s="79">
        <v>6</v>
      </c>
      <c r="M427" s="79">
        <v>6</v>
      </c>
      <c r="N427" s="90">
        <v>9006</v>
      </c>
    </row>
    <row r="428" spans="1:14">
      <c r="A428" s="78">
        <v>1022377076</v>
      </c>
      <c r="B428" s="79">
        <v>74</v>
      </c>
      <c r="C428" s="79">
        <v>1</v>
      </c>
      <c r="D428" s="79">
        <v>4</v>
      </c>
      <c r="E428" s="79">
        <v>1</v>
      </c>
      <c r="F428" s="79">
        <v>1825988</v>
      </c>
      <c r="G428" s="79">
        <v>26500000</v>
      </c>
      <c r="H428" s="79">
        <v>0</v>
      </c>
      <c r="I428" s="79">
        <v>17351196</v>
      </c>
      <c r="J428" s="79">
        <v>0</v>
      </c>
      <c r="K428" s="79">
        <v>1</v>
      </c>
      <c r="L428" s="79">
        <v>2</v>
      </c>
      <c r="M428" s="79">
        <v>1</v>
      </c>
      <c r="N428" s="90">
        <v>9009</v>
      </c>
    </row>
    <row r="429" spans="1:14">
      <c r="A429" s="78">
        <v>1098703717</v>
      </c>
      <c r="B429" s="79">
        <v>82</v>
      </c>
      <c r="C429" s="79">
        <v>1</v>
      </c>
      <c r="D429" s="79">
        <v>9</v>
      </c>
      <c r="E429" s="79">
        <v>3</v>
      </c>
      <c r="F429" s="79">
        <v>3093000</v>
      </c>
      <c r="G429" s="79">
        <v>90000000</v>
      </c>
      <c r="H429" s="79">
        <v>20000000</v>
      </c>
      <c r="I429" s="79">
        <v>71477090</v>
      </c>
      <c r="J429" s="79">
        <v>0</v>
      </c>
      <c r="K429" s="79">
        <v>2</v>
      </c>
      <c r="L429" s="79">
        <v>5</v>
      </c>
      <c r="M429" s="79">
        <v>5</v>
      </c>
      <c r="N429" s="90">
        <v>9009</v>
      </c>
    </row>
    <row r="430" spans="1:14">
      <c r="A430" s="78">
        <v>1143358107</v>
      </c>
      <c r="B430" s="79">
        <v>126</v>
      </c>
      <c r="C430" s="79">
        <v>1</v>
      </c>
      <c r="D430" s="79">
        <v>14</v>
      </c>
      <c r="E430" s="79">
        <v>1</v>
      </c>
      <c r="F430" s="79">
        <v>3075000</v>
      </c>
      <c r="G430" s="79">
        <v>57314169</v>
      </c>
      <c r="H430" s="79">
        <v>0</v>
      </c>
      <c r="I430" s="79">
        <v>49583000</v>
      </c>
      <c r="J430" s="79">
        <v>0</v>
      </c>
      <c r="K430" s="79">
        <v>1</v>
      </c>
      <c r="L430" s="79">
        <v>16</v>
      </c>
      <c r="M430" s="79">
        <v>16</v>
      </c>
      <c r="N430" s="90">
        <v>9005</v>
      </c>
    </row>
    <row r="431" spans="1:14">
      <c r="A431" s="78">
        <v>1098408083</v>
      </c>
      <c r="B431" s="79">
        <v>77</v>
      </c>
      <c r="C431" s="79">
        <v>0</v>
      </c>
      <c r="D431" s="79">
        <v>10</v>
      </c>
      <c r="E431" s="79">
        <v>5</v>
      </c>
      <c r="F431" s="79">
        <v>4060000</v>
      </c>
      <c r="G431" s="79">
        <v>6500000</v>
      </c>
      <c r="H431" s="79">
        <v>0</v>
      </c>
      <c r="I431" s="79">
        <v>96857490</v>
      </c>
      <c r="J431" s="79">
        <v>0</v>
      </c>
      <c r="K431" s="79">
        <v>1</v>
      </c>
      <c r="L431" s="79">
        <v>2</v>
      </c>
      <c r="M431" s="79">
        <v>0</v>
      </c>
      <c r="N431" s="90">
        <v>9005</v>
      </c>
    </row>
    <row r="432" spans="1:14">
      <c r="A432" s="78">
        <v>1064998594</v>
      </c>
      <c r="B432" s="79">
        <v>96</v>
      </c>
      <c r="C432" s="79">
        <v>6</v>
      </c>
      <c r="D432" s="79">
        <v>12</v>
      </c>
      <c r="E432" s="79">
        <v>0</v>
      </c>
      <c r="F432" s="79">
        <v>8855000</v>
      </c>
      <c r="G432" s="79">
        <v>132579615.88000001</v>
      </c>
      <c r="H432" s="79">
        <v>15000000</v>
      </c>
      <c r="I432" s="79">
        <v>5466489</v>
      </c>
      <c r="J432" s="79">
        <v>0</v>
      </c>
      <c r="K432" s="79">
        <v>5</v>
      </c>
      <c r="L432" s="79">
        <v>10</v>
      </c>
      <c r="M432" s="79">
        <v>10</v>
      </c>
      <c r="N432" s="90">
        <v>9003</v>
      </c>
    </row>
    <row r="433" spans="1:14">
      <c r="A433" s="78">
        <v>53121278</v>
      </c>
      <c r="B433" s="79">
        <v>69</v>
      </c>
      <c r="C433" s="79">
        <v>4</v>
      </c>
      <c r="D433" s="79">
        <v>12</v>
      </c>
      <c r="E433" s="79">
        <v>14</v>
      </c>
      <c r="F433" s="79">
        <v>2769704.166666667</v>
      </c>
      <c r="G433" s="79">
        <v>101400000</v>
      </c>
      <c r="H433" s="79">
        <v>4068002.1700000013</v>
      </c>
      <c r="I433" s="79">
        <v>125569823</v>
      </c>
      <c r="J433" s="79">
        <v>0</v>
      </c>
      <c r="K433" s="79">
        <v>0</v>
      </c>
      <c r="L433" s="79">
        <v>8</v>
      </c>
      <c r="M433" s="79">
        <v>9</v>
      </c>
      <c r="N433" s="90">
        <v>9009</v>
      </c>
    </row>
    <row r="434" spans="1:14">
      <c r="A434" s="78">
        <v>1030576138</v>
      </c>
      <c r="B434" s="79">
        <v>62</v>
      </c>
      <c r="C434" s="79">
        <v>4</v>
      </c>
      <c r="D434" s="79">
        <v>11</v>
      </c>
      <c r="E434" s="79">
        <v>3</v>
      </c>
      <c r="F434" s="79">
        <v>8425000</v>
      </c>
      <c r="G434" s="79">
        <v>129500000</v>
      </c>
      <c r="H434" s="79">
        <v>0</v>
      </c>
      <c r="I434" s="79">
        <v>137210185</v>
      </c>
      <c r="J434" s="79">
        <v>0</v>
      </c>
      <c r="K434" s="79">
        <v>2</v>
      </c>
      <c r="L434" s="79">
        <v>9</v>
      </c>
      <c r="M434" s="79">
        <v>23</v>
      </c>
      <c r="N434" s="90">
        <v>9006</v>
      </c>
    </row>
    <row r="435" spans="1:14">
      <c r="A435" s="78">
        <v>63549086</v>
      </c>
      <c r="B435" s="79">
        <v>53</v>
      </c>
      <c r="C435" s="79">
        <v>4</v>
      </c>
      <c r="D435" s="79">
        <v>9</v>
      </c>
      <c r="E435" s="79">
        <v>3</v>
      </c>
      <c r="F435" s="79">
        <v>7380000</v>
      </c>
      <c r="G435" s="79">
        <v>122750000</v>
      </c>
      <c r="H435" s="79">
        <v>83000000</v>
      </c>
      <c r="I435" s="79">
        <v>84941000</v>
      </c>
      <c r="J435" s="79">
        <v>0</v>
      </c>
      <c r="K435" s="79">
        <v>2</v>
      </c>
      <c r="L435" s="79">
        <v>7</v>
      </c>
      <c r="M435" s="79">
        <v>4</v>
      </c>
      <c r="N435" s="90">
        <v>9007</v>
      </c>
    </row>
    <row r="436" spans="1:14">
      <c r="A436" s="78">
        <v>1096223839</v>
      </c>
      <c r="B436" s="79">
        <v>61</v>
      </c>
      <c r="C436" s="79">
        <v>0</v>
      </c>
      <c r="D436" s="79">
        <v>3</v>
      </c>
      <c r="E436" s="79">
        <v>0</v>
      </c>
      <c r="F436" s="79">
        <v>1230000</v>
      </c>
      <c r="G436" s="79">
        <v>0</v>
      </c>
      <c r="H436" s="79">
        <v>0</v>
      </c>
      <c r="I436" s="79">
        <v>45279000</v>
      </c>
      <c r="J436" s="79">
        <v>0</v>
      </c>
      <c r="K436" s="79">
        <v>0</v>
      </c>
      <c r="L436" s="79">
        <v>4</v>
      </c>
      <c r="M436" s="79">
        <v>0</v>
      </c>
      <c r="N436" s="90">
        <v>9006</v>
      </c>
    </row>
    <row r="437" spans="1:14">
      <c r="A437" s="78">
        <v>29681212</v>
      </c>
      <c r="B437" s="79">
        <v>80</v>
      </c>
      <c r="C437" s="79">
        <v>9</v>
      </c>
      <c r="D437" s="79">
        <v>13</v>
      </c>
      <c r="E437" s="79">
        <v>1</v>
      </c>
      <c r="F437" s="79">
        <v>2448750</v>
      </c>
      <c r="G437" s="79">
        <v>63700000</v>
      </c>
      <c r="H437" s="79">
        <v>0</v>
      </c>
      <c r="I437" s="79">
        <v>50981463</v>
      </c>
      <c r="J437" s="79">
        <v>0</v>
      </c>
      <c r="K437" s="79">
        <v>3</v>
      </c>
      <c r="L437" s="79">
        <v>4</v>
      </c>
      <c r="M437" s="79">
        <v>3</v>
      </c>
      <c r="N437" s="90">
        <v>9003</v>
      </c>
    </row>
    <row r="438" spans="1:14">
      <c r="A438" s="78">
        <v>53000345</v>
      </c>
      <c r="B438" s="79">
        <v>62</v>
      </c>
      <c r="C438" s="79">
        <v>0</v>
      </c>
      <c r="D438" s="79">
        <v>16</v>
      </c>
      <c r="E438" s="79">
        <v>2</v>
      </c>
      <c r="F438" s="79">
        <v>9160500</v>
      </c>
      <c r="G438" s="79">
        <v>71000000</v>
      </c>
      <c r="H438" s="79">
        <v>17000000</v>
      </c>
      <c r="I438" s="79">
        <v>104808200</v>
      </c>
      <c r="J438" s="79">
        <v>0</v>
      </c>
      <c r="K438" s="79">
        <v>7</v>
      </c>
      <c r="L438" s="79">
        <v>9</v>
      </c>
      <c r="M438" s="79">
        <v>9</v>
      </c>
      <c r="N438" s="90">
        <v>9009</v>
      </c>
    </row>
    <row r="439" spans="1:14">
      <c r="A439" s="78">
        <v>66859870</v>
      </c>
      <c r="B439" s="79">
        <v>64</v>
      </c>
      <c r="C439" s="79">
        <v>12</v>
      </c>
      <c r="D439" s="79">
        <v>15</v>
      </c>
      <c r="E439" s="79">
        <v>2</v>
      </c>
      <c r="F439" s="79">
        <v>3690000</v>
      </c>
      <c r="G439" s="79">
        <v>28711675</v>
      </c>
      <c r="H439" s="79">
        <v>19000000</v>
      </c>
      <c r="I439" s="79">
        <v>86495884</v>
      </c>
      <c r="J439" s="79">
        <v>0</v>
      </c>
      <c r="K439" s="79">
        <v>3</v>
      </c>
      <c r="L439" s="79">
        <v>13</v>
      </c>
      <c r="M439" s="79">
        <v>11</v>
      </c>
      <c r="N439" s="90">
        <v>9008</v>
      </c>
    </row>
    <row r="440" spans="1:14">
      <c r="A440" s="78">
        <v>1043001415</v>
      </c>
      <c r="B440" s="79">
        <v>55</v>
      </c>
      <c r="C440" s="79">
        <v>9</v>
      </c>
      <c r="D440" s="79">
        <v>15</v>
      </c>
      <c r="E440" s="79">
        <v>3</v>
      </c>
      <c r="F440" s="79">
        <v>6395000</v>
      </c>
      <c r="G440" s="79">
        <v>0</v>
      </c>
      <c r="H440" s="79">
        <v>0</v>
      </c>
      <c r="I440" s="79">
        <v>38021922</v>
      </c>
      <c r="J440" s="79">
        <v>0</v>
      </c>
      <c r="K440" s="79">
        <v>4</v>
      </c>
      <c r="L440" s="79">
        <v>7</v>
      </c>
      <c r="M440" s="79">
        <v>4</v>
      </c>
      <c r="N440" s="90">
        <v>9001</v>
      </c>
    </row>
    <row r="441" spans="1:14">
      <c r="A441" s="78">
        <v>49720783</v>
      </c>
      <c r="B441" s="79">
        <v>54</v>
      </c>
      <c r="C441" s="79">
        <v>2</v>
      </c>
      <c r="D441" s="79">
        <v>11</v>
      </c>
      <c r="E441" s="79">
        <v>3</v>
      </c>
      <c r="F441" s="79">
        <v>8015000</v>
      </c>
      <c r="G441" s="79">
        <v>107700000</v>
      </c>
      <c r="H441" s="79">
        <v>0</v>
      </c>
      <c r="I441" s="79">
        <v>47122000</v>
      </c>
      <c r="J441" s="79">
        <v>0</v>
      </c>
      <c r="K441" s="79">
        <v>6</v>
      </c>
      <c r="L441" s="79">
        <v>6</v>
      </c>
      <c r="M441" s="79">
        <v>4</v>
      </c>
      <c r="N441" s="90">
        <v>9004</v>
      </c>
    </row>
    <row r="442" spans="1:14">
      <c r="A442" s="78">
        <v>1088008100</v>
      </c>
      <c r="B442" s="79">
        <v>100</v>
      </c>
      <c r="C442" s="79">
        <v>7</v>
      </c>
      <c r="D442" s="79">
        <v>13</v>
      </c>
      <c r="E442" s="79">
        <v>6</v>
      </c>
      <c r="F442" s="79">
        <v>12505000</v>
      </c>
      <c r="G442" s="79">
        <v>121500000</v>
      </c>
      <c r="H442" s="79">
        <v>0</v>
      </c>
      <c r="I442" s="79">
        <v>49700000</v>
      </c>
      <c r="J442" s="79">
        <v>0</v>
      </c>
      <c r="K442" s="79">
        <v>9</v>
      </c>
      <c r="L442" s="79">
        <v>13</v>
      </c>
      <c r="M442" s="79">
        <v>9</v>
      </c>
      <c r="N442" s="90">
        <v>9009</v>
      </c>
    </row>
    <row r="443" spans="1:14">
      <c r="A443" s="78">
        <v>1088303587</v>
      </c>
      <c r="B443" s="79">
        <v>49</v>
      </c>
      <c r="C443" s="79">
        <v>1</v>
      </c>
      <c r="D443" s="79">
        <v>13</v>
      </c>
      <c r="E443" s="79">
        <v>13</v>
      </c>
      <c r="F443" s="79">
        <v>9428000</v>
      </c>
      <c r="G443" s="79">
        <v>109200000</v>
      </c>
      <c r="H443" s="79">
        <v>21000000</v>
      </c>
      <c r="I443" s="79">
        <v>57534935</v>
      </c>
      <c r="J443" s="79">
        <v>0</v>
      </c>
      <c r="K443" s="79">
        <v>8</v>
      </c>
      <c r="L443" s="79">
        <v>14</v>
      </c>
      <c r="M443" s="79">
        <v>15</v>
      </c>
      <c r="N443" s="90">
        <v>9001</v>
      </c>
    </row>
    <row r="444" spans="1:14">
      <c r="A444" s="78">
        <v>53168083</v>
      </c>
      <c r="B444" s="79">
        <v>36</v>
      </c>
      <c r="C444" s="79">
        <v>2</v>
      </c>
      <c r="D444" s="79">
        <v>8</v>
      </c>
      <c r="E444" s="79">
        <v>0</v>
      </c>
      <c r="F444" s="79">
        <v>615000</v>
      </c>
      <c r="G444" s="79">
        <v>0</v>
      </c>
      <c r="H444" s="79">
        <v>20000000</v>
      </c>
      <c r="I444" s="79">
        <v>9179000</v>
      </c>
      <c r="J444" s="79">
        <v>0</v>
      </c>
      <c r="K444" s="79">
        <v>0</v>
      </c>
      <c r="L444" s="79">
        <v>3</v>
      </c>
      <c r="M444" s="79">
        <v>1</v>
      </c>
      <c r="N444" s="90">
        <v>9004</v>
      </c>
    </row>
    <row r="445" spans="1:14">
      <c r="A445" s="78">
        <v>49762724</v>
      </c>
      <c r="B445" s="79">
        <v>68</v>
      </c>
      <c r="C445" s="79">
        <v>1</v>
      </c>
      <c r="D445" s="79">
        <v>5</v>
      </c>
      <c r="E445" s="79">
        <v>0</v>
      </c>
      <c r="F445" s="79">
        <v>0</v>
      </c>
      <c r="G445" s="79">
        <v>0</v>
      </c>
      <c r="H445" s="79">
        <v>0</v>
      </c>
      <c r="I445" s="79">
        <v>4006285</v>
      </c>
      <c r="J445" s="79">
        <v>0</v>
      </c>
      <c r="K445" s="79">
        <v>0</v>
      </c>
      <c r="L445" s="79">
        <v>6</v>
      </c>
      <c r="M445" s="79">
        <v>4</v>
      </c>
      <c r="N445" s="90">
        <v>9002</v>
      </c>
    </row>
    <row r="446" spans="1:14">
      <c r="A446" s="78">
        <v>59826204</v>
      </c>
      <c r="B446" s="79">
        <v>69</v>
      </c>
      <c r="C446" s="79">
        <v>5</v>
      </c>
      <c r="D446" s="79">
        <v>7</v>
      </c>
      <c r="E446" s="79">
        <v>5</v>
      </c>
      <c r="F446" s="79">
        <v>12449000</v>
      </c>
      <c r="G446" s="79">
        <v>250035000</v>
      </c>
      <c r="H446" s="79">
        <v>0</v>
      </c>
      <c r="I446" s="79">
        <v>184686052</v>
      </c>
      <c r="J446" s="79">
        <v>0</v>
      </c>
      <c r="K446" s="79">
        <v>7</v>
      </c>
      <c r="L446" s="79">
        <v>11</v>
      </c>
      <c r="M446" s="79">
        <v>10</v>
      </c>
      <c r="N446" s="90">
        <v>9009</v>
      </c>
    </row>
    <row r="447" spans="1:14">
      <c r="A447" s="78">
        <v>43526336</v>
      </c>
      <c r="B447" s="79">
        <v>41</v>
      </c>
      <c r="C447" s="79">
        <v>1</v>
      </c>
      <c r="D447" s="79">
        <v>4</v>
      </c>
      <c r="E447" s="79">
        <v>8</v>
      </c>
      <c r="F447" s="79">
        <v>1230000</v>
      </c>
      <c r="G447" s="79">
        <v>66200000</v>
      </c>
      <c r="H447" s="79">
        <v>30000000</v>
      </c>
      <c r="I447" s="79">
        <v>17397000</v>
      </c>
      <c r="J447" s="79">
        <v>0</v>
      </c>
      <c r="K447" s="79">
        <v>2</v>
      </c>
      <c r="L447" s="79">
        <v>3</v>
      </c>
      <c r="M447" s="79">
        <v>4</v>
      </c>
      <c r="N447" s="90">
        <v>9005</v>
      </c>
    </row>
    <row r="448" spans="1:14">
      <c r="A448" s="78">
        <v>1016029419</v>
      </c>
      <c r="B448" s="79">
        <v>49</v>
      </c>
      <c r="C448" s="79">
        <v>3</v>
      </c>
      <c r="D448" s="79">
        <v>1</v>
      </c>
      <c r="E448" s="79">
        <v>1</v>
      </c>
      <c r="F448" s="79">
        <v>3690000</v>
      </c>
      <c r="G448" s="79">
        <v>50000000</v>
      </c>
      <c r="H448" s="79">
        <v>25000000</v>
      </c>
      <c r="I448" s="79">
        <v>566000</v>
      </c>
      <c r="J448" s="79">
        <v>0</v>
      </c>
      <c r="K448" s="79">
        <v>5</v>
      </c>
      <c r="L448" s="79">
        <v>8</v>
      </c>
      <c r="M448" s="79">
        <v>17</v>
      </c>
      <c r="N448" s="90">
        <v>9003</v>
      </c>
    </row>
    <row r="449" spans="1:14">
      <c r="A449" s="78">
        <v>1144201555</v>
      </c>
      <c r="B449" s="79">
        <v>204</v>
      </c>
      <c r="C449" s="79">
        <v>2</v>
      </c>
      <c r="D449" s="79">
        <v>6</v>
      </c>
      <c r="E449" s="79">
        <v>0</v>
      </c>
      <c r="F449" s="79">
        <v>1270000</v>
      </c>
      <c r="G449" s="79">
        <v>10000000</v>
      </c>
      <c r="H449" s="79">
        <v>52985343.600000001</v>
      </c>
      <c r="I449" s="79">
        <v>10620000</v>
      </c>
      <c r="J449" s="79">
        <v>0</v>
      </c>
      <c r="K449" s="79">
        <v>0</v>
      </c>
      <c r="L449" s="79">
        <v>1</v>
      </c>
      <c r="M449" s="79">
        <v>0</v>
      </c>
      <c r="N449" s="90">
        <v>9003</v>
      </c>
    </row>
    <row r="450" spans="1:14">
      <c r="A450" s="78">
        <v>1022324423</v>
      </c>
      <c r="B450" s="79">
        <v>38</v>
      </c>
      <c r="C450" s="79">
        <v>4</v>
      </c>
      <c r="D450" s="79">
        <v>12</v>
      </c>
      <c r="E450" s="79">
        <v>0</v>
      </c>
      <c r="F450" s="79">
        <v>-61995.75</v>
      </c>
      <c r="G450" s="79">
        <v>17600000</v>
      </c>
      <c r="H450" s="79">
        <v>15000000</v>
      </c>
      <c r="I450" s="79">
        <v>69564482</v>
      </c>
      <c r="J450" s="79">
        <v>0</v>
      </c>
      <c r="K450" s="79">
        <v>3</v>
      </c>
      <c r="L450" s="79">
        <v>10</v>
      </c>
      <c r="M450" s="79">
        <v>12</v>
      </c>
      <c r="N450" s="90">
        <v>9003</v>
      </c>
    </row>
    <row r="451" spans="1:14">
      <c r="A451" s="78">
        <v>1140855334</v>
      </c>
      <c r="B451" s="79">
        <v>44</v>
      </c>
      <c r="C451" s="79">
        <v>3</v>
      </c>
      <c r="D451" s="79">
        <v>13</v>
      </c>
      <c r="E451" s="79">
        <v>2</v>
      </c>
      <c r="F451" s="79">
        <v>1947500</v>
      </c>
      <c r="G451" s="79">
        <v>35000000</v>
      </c>
      <c r="H451" s="79">
        <v>20000000</v>
      </c>
      <c r="I451" s="79">
        <v>14957557</v>
      </c>
      <c r="J451" s="79">
        <v>0</v>
      </c>
      <c r="K451" s="79">
        <v>0</v>
      </c>
      <c r="L451" s="79">
        <v>7</v>
      </c>
      <c r="M451" s="79">
        <v>8</v>
      </c>
      <c r="N451" s="90">
        <v>9003</v>
      </c>
    </row>
    <row r="452" spans="1:14">
      <c r="A452" s="78">
        <v>1098651364</v>
      </c>
      <c r="B452" s="79">
        <v>66</v>
      </c>
      <c r="C452" s="79">
        <v>1</v>
      </c>
      <c r="D452" s="79">
        <v>12</v>
      </c>
      <c r="E452" s="79">
        <v>3</v>
      </c>
      <c r="F452" s="79">
        <v>3075000</v>
      </c>
      <c r="G452" s="79">
        <v>0</v>
      </c>
      <c r="H452" s="79">
        <v>0</v>
      </c>
      <c r="I452" s="79">
        <v>93882000</v>
      </c>
      <c r="J452" s="79">
        <v>80000000</v>
      </c>
      <c r="K452" s="79">
        <v>5</v>
      </c>
      <c r="L452" s="79">
        <v>8</v>
      </c>
      <c r="M452" s="79">
        <v>7</v>
      </c>
      <c r="N452" s="90">
        <v>9003</v>
      </c>
    </row>
    <row r="453" spans="1:14">
      <c r="A453" s="78">
        <v>35198506</v>
      </c>
      <c r="B453" s="79">
        <v>85</v>
      </c>
      <c r="C453" s="79">
        <v>7</v>
      </c>
      <c r="D453" s="79">
        <v>3</v>
      </c>
      <c r="E453" s="79">
        <v>4</v>
      </c>
      <c r="F453" s="79">
        <v>6825000</v>
      </c>
      <c r="G453" s="79">
        <v>65829449.940000005</v>
      </c>
      <c r="H453" s="79">
        <v>0</v>
      </c>
      <c r="I453" s="79">
        <v>64298449</v>
      </c>
      <c r="J453" s="79">
        <v>0</v>
      </c>
      <c r="K453" s="79">
        <v>1</v>
      </c>
      <c r="L453" s="79">
        <v>7</v>
      </c>
      <c r="M453" s="79">
        <v>13</v>
      </c>
      <c r="N453" s="90">
        <v>9003</v>
      </c>
    </row>
    <row r="454" spans="1:14">
      <c r="A454" s="78">
        <v>1108934001</v>
      </c>
      <c r="B454" s="79">
        <v>47</v>
      </c>
      <c r="C454" s="79">
        <v>6</v>
      </c>
      <c r="D454" s="79">
        <v>14</v>
      </c>
      <c r="E454" s="79">
        <v>6</v>
      </c>
      <c r="F454" s="79">
        <v>5535495.833333333</v>
      </c>
      <c r="G454" s="79">
        <v>84209777</v>
      </c>
      <c r="H454" s="79">
        <v>40500000</v>
      </c>
      <c r="I454" s="79">
        <v>51504623</v>
      </c>
      <c r="J454" s="79">
        <v>0</v>
      </c>
      <c r="K454" s="79">
        <v>8</v>
      </c>
      <c r="L454" s="79">
        <v>13</v>
      </c>
      <c r="M454" s="79">
        <v>8</v>
      </c>
      <c r="N454" s="90">
        <v>9002</v>
      </c>
    </row>
    <row r="455" spans="1:14">
      <c r="A455" s="78">
        <v>1140837022</v>
      </c>
      <c r="B455" s="79">
        <v>7</v>
      </c>
      <c r="C455" s="79">
        <v>0</v>
      </c>
      <c r="D455" s="79">
        <v>3</v>
      </c>
      <c r="E455" s="79">
        <v>0</v>
      </c>
      <c r="F455" s="79">
        <v>2890000</v>
      </c>
      <c r="G455" s="79">
        <v>27400000</v>
      </c>
      <c r="H455" s="79">
        <v>0</v>
      </c>
      <c r="I455" s="79">
        <v>11300000</v>
      </c>
      <c r="J455" s="79">
        <v>0</v>
      </c>
      <c r="K455" s="79">
        <v>0</v>
      </c>
      <c r="L455" s="79">
        <v>0</v>
      </c>
      <c r="M455" s="79">
        <v>2</v>
      </c>
      <c r="N455" s="90">
        <v>9006</v>
      </c>
    </row>
    <row r="456" spans="1:14">
      <c r="A456" s="78">
        <v>1020770948</v>
      </c>
      <c r="B456" s="79">
        <v>67</v>
      </c>
      <c r="C456" s="79">
        <v>3</v>
      </c>
      <c r="D456" s="79">
        <v>9</v>
      </c>
      <c r="E456" s="79">
        <v>7</v>
      </c>
      <c r="F456" s="79">
        <v>3690000</v>
      </c>
      <c r="G456" s="79">
        <v>8700000</v>
      </c>
      <c r="H456" s="79">
        <v>0</v>
      </c>
      <c r="I456" s="79">
        <v>89497055</v>
      </c>
      <c r="J456" s="79">
        <v>0</v>
      </c>
      <c r="K456" s="79">
        <v>1</v>
      </c>
      <c r="L456" s="79">
        <v>7</v>
      </c>
      <c r="M456" s="79">
        <v>2</v>
      </c>
      <c r="N456" s="90">
        <v>9006</v>
      </c>
    </row>
    <row r="457" spans="1:14">
      <c r="A457" s="78">
        <v>1032372097</v>
      </c>
      <c r="B457" s="79">
        <v>28</v>
      </c>
      <c r="C457" s="79">
        <v>0</v>
      </c>
      <c r="D457" s="79">
        <v>5</v>
      </c>
      <c r="E457" s="79">
        <v>0</v>
      </c>
      <c r="F457" s="79">
        <v>0</v>
      </c>
      <c r="G457" s="79">
        <v>30500000</v>
      </c>
      <c r="H457" s="79">
        <v>0</v>
      </c>
      <c r="I457" s="79">
        <v>7379571</v>
      </c>
      <c r="J457" s="79">
        <v>0</v>
      </c>
      <c r="K457" s="79">
        <v>0</v>
      </c>
      <c r="L457" s="79">
        <v>0</v>
      </c>
      <c r="M457" s="79">
        <v>1</v>
      </c>
      <c r="N457" s="90">
        <v>9006</v>
      </c>
    </row>
    <row r="458" spans="1:14">
      <c r="A458" s="78">
        <v>1032399410</v>
      </c>
      <c r="B458" s="79">
        <v>24</v>
      </c>
      <c r="C458" s="79">
        <v>0</v>
      </c>
      <c r="D458" s="79">
        <v>5</v>
      </c>
      <c r="E458" s="79">
        <v>0</v>
      </c>
      <c r="F458" s="79">
        <v>1230000</v>
      </c>
      <c r="G458" s="79">
        <v>20000000</v>
      </c>
      <c r="H458" s="79">
        <v>0</v>
      </c>
      <c r="I458" s="79">
        <v>22426692</v>
      </c>
      <c r="J458" s="79">
        <v>0</v>
      </c>
      <c r="K458" s="79">
        <v>2</v>
      </c>
      <c r="L458" s="79">
        <v>3</v>
      </c>
      <c r="M458" s="79">
        <v>1</v>
      </c>
      <c r="N458" s="90">
        <v>9004</v>
      </c>
    </row>
    <row r="459" spans="1:14">
      <c r="A459" s="78">
        <v>1140851012</v>
      </c>
      <c r="B459" s="79">
        <v>54</v>
      </c>
      <c r="C459" s="79">
        <v>0</v>
      </c>
      <c r="D459" s="79">
        <v>9</v>
      </c>
      <c r="E459" s="79">
        <v>1</v>
      </c>
      <c r="F459" s="79">
        <v>2385604.5</v>
      </c>
      <c r="G459" s="79">
        <v>11200000</v>
      </c>
      <c r="H459" s="79">
        <v>26000000</v>
      </c>
      <c r="I459" s="79">
        <v>18640399</v>
      </c>
      <c r="J459" s="79">
        <v>0</v>
      </c>
      <c r="K459" s="79">
        <v>0</v>
      </c>
      <c r="L459" s="79">
        <v>9</v>
      </c>
      <c r="M459" s="79">
        <v>8</v>
      </c>
      <c r="N459" s="90">
        <v>9004</v>
      </c>
    </row>
    <row r="460" spans="1:14">
      <c r="A460" s="78">
        <v>31435396</v>
      </c>
      <c r="B460" s="79">
        <v>91</v>
      </c>
      <c r="C460" s="79">
        <v>7</v>
      </c>
      <c r="D460" s="79">
        <v>12</v>
      </c>
      <c r="E460" s="79">
        <v>0</v>
      </c>
      <c r="F460" s="79">
        <v>11745000</v>
      </c>
      <c r="G460" s="79">
        <v>95800000</v>
      </c>
      <c r="H460" s="79">
        <v>0</v>
      </c>
      <c r="I460" s="79">
        <v>67893868</v>
      </c>
      <c r="J460" s="79">
        <v>0</v>
      </c>
      <c r="K460" s="79">
        <v>2</v>
      </c>
      <c r="L460" s="79">
        <v>8</v>
      </c>
      <c r="M460" s="79">
        <v>9</v>
      </c>
      <c r="N460" s="90">
        <v>9007</v>
      </c>
    </row>
    <row r="461" spans="1:14">
      <c r="A461" s="78">
        <v>1055273054</v>
      </c>
      <c r="B461" s="79">
        <v>121</v>
      </c>
      <c r="C461" s="79">
        <v>2</v>
      </c>
      <c r="D461" s="79">
        <v>4</v>
      </c>
      <c r="E461" s="79">
        <v>3</v>
      </c>
      <c r="F461" s="79">
        <v>8120258</v>
      </c>
      <c r="G461" s="79">
        <v>121478528.5</v>
      </c>
      <c r="H461" s="79">
        <v>0</v>
      </c>
      <c r="I461" s="79">
        <v>52540050</v>
      </c>
      <c r="J461" s="79">
        <v>0</v>
      </c>
      <c r="K461" s="79">
        <v>2</v>
      </c>
      <c r="L461" s="79">
        <v>1</v>
      </c>
      <c r="M461" s="79">
        <v>0</v>
      </c>
      <c r="N461" s="90">
        <v>9007</v>
      </c>
    </row>
    <row r="462" spans="1:14">
      <c r="A462" s="78">
        <v>1014270719</v>
      </c>
      <c r="B462" s="79">
        <v>110</v>
      </c>
      <c r="C462" s="79">
        <v>3</v>
      </c>
      <c r="D462" s="79">
        <v>12</v>
      </c>
      <c r="E462" s="79">
        <v>7</v>
      </c>
      <c r="F462" s="79">
        <v>4647500</v>
      </c>
      <c r="G462" s="79">
        <v>76200000</v>
      </c>
      <c r="H462" s="79">
        <v>0</v>
      </c>
      <c r="I462" s="79">
        <v>83869000</v>
      </c>
      <c r="J462" s="79">
        <v>0</v>
      </c>
      <c r="K462" s="79">
        <v>6</v>
      </c>
      <c r="L462" s="79">
        <v>4</v>
      </c>
      <c r="M462" s="79">
        <v>2</v>
      </c>
      <c r="N462" s="90">
        <v>9002</v>
      </c>
    </row>
    <row r="463" spans="1:14">
      <c r="A463" s="78">
        <v>1014265855</v>
      </c>
      <c r="B463" s="79">
        <v>72</v>
      </c>
      <c r="C463" s="79">
        <v>7</v>
      </c>
      <c r="D463" s="79">
        <v>2</v>
      </c>
      <c r="E463" s="79">
        <v>2</v>
      </c>
      <c r="F463" s="79">
        <v>712780.83333333337</v>
      </c>
      <c r="G463" s="79">
        <v>20000000</v>
      </c>
      <c r="H463" s="79">
        <v>0</v>
      </c>
      <c r="I463" s="79">
        <v>42326542</v>
      </c>
      <c r="J463" s="79">
        <v>0</v>
      </c>
      <c r="K463" s="79">
        <v>2</v>
      </c>
      <c r="L463" s="79">
        <v>2</v>
      </c>
      <c r="M463" s="79">
        <v>7</v>
      </c>
      <c r="N463" s="90">
        <v>9008</v>
      </c>
    </row>
    <row r="464" spans="1:14">
      <c r="A464" s="78">
        <v>1031140758</v>
      </c>
      <c r="B464" s="79">
        <v>47</v>
      </c>
      <c r="C464" s="79">
        <v>2</v>
      </c>
      <c r="D464" s="79">
        <v>5</v>
      </c>
      <c r="E464" s="79">
        <v>6</v>
      </c>
      <c r="F464" s="79">
        <v>816463.91666666663</v>
      </c>
      <c r="G464" s="79">
        <v>83400000</v>
      </c>
      <c r="H464" s="79">
        <v>0</v>
      </c>
      <c r="I464" s="79">
        <v>49860052</v>
      </c>
      <c r="J464" s="79">
        <v>0</v>
      </c>
      <c r="K464" s="79">
        <v>0</v>
      </c>
      <c r="L464" s="79">
        <v>2</v>
      </c>
      <c r="M464" s="79">
        <v>0</v>
      </c>
      <c r="N464" s="90">
        <v>9004</v>
      </c>
    </row>
    <row r="465" spans="1:14">
      <c r="A465" s="78">
        <v>1013647534</v>
      </c>
      <c r="B465" s="79">
        <v>37</v>
      </c>
      <c r="C465" s="79">
        <v>1</v>
      </c>
      <c r="D465" s="79">
        <v>5</v>
      </c>
      <c r="E465" s="79">
        <v>1</v>
      </c>
      <c r="F465" s="79">
        <v>0</v>
      </c>
      <c r="G465" s="79">
        <v>0</v>
      </c>
      <c r="H465" s="79">
        <v>0</v>
      </c>
      <c r="I465" s="79">
        <v>40850215</v>
      </c>
      <c r="J465" s="79">
        <v>0</v>
      </c>
      <c r="K465" s="79">
        <v>0</v>
      </c>
      <c r="L465" s="79">
        <v>2</v>
      </c>
      <c r="M465" s="79">
        <v>1</v>
      </c>
      <c r="N465" s="90">
        <v>9004</v>
      </c>
    </row>
    <row r="466" spans="1:14">
      <c r="A466" s="78">
        <v>80920929</v>
      </c>
      <c r="B466" s="79">
        <v>52</v>
      </c>
      <c r="C466" s="79">
        <v>3</v>
      </c>
      <c r="D466" s="79">
        <v>16</v>
      </c>
      <c r="E466" s="79">
        <v>3</v>
      </c>
      <c r="F466" s="79">
        <v>7101321.916666667</v>
      </c>
      <c r="G466" s="79">
        <v>45300000</v>
      </c>
      <c r="H466" s="79">
        <v>20005485.350000001</v>
      </c>
      <c r="I466" s="79">
        <v>58848000</v>
      </c>
      <c r="J466" s="79">
        <v>0</v>
      </c>
      <c r="K466" s="79">
        <v>5</v>
      </c>
      <c r="L466" s="79">
        <v>10</v>
      </c>
      <c r="M466" s="79">
        <v>7</v>
      </c>
      <c r="N466" s="90">
        <v>9008</v>
      </c>
    </row>
    <row r="467" spans="1:14">
      <c r="A467" s="78">
        <v>52969353</v>
      </c>
      <c r="B467" s="79">
        <v>63</v>
      </c>
      <c r="C467" s="79">
        <v>2</v>
      </c>
      <c r="D467" s="79">
        <v>14</v>
      </c>
      <c r="E467" s="79">
        <v>9</v>
      </c>
      <c r="F467" s="79">
        <v>7625000</v>
      </c>
      <c r="G467" s="79">
        <v>63000000</v>
      </c>
      <c r="H467" s="79">
        <v>0</v>
      </c>
      <c r="I467" s="79">
        <v>90562299</v>
      </c>
      <c r="J467" s="79">
        <v>0</v>
      </c>
      <c r="K467" s="79">
        <v>0</v>
      </c>
      <c r="L467" s="79">
        <v>12</v>
      </c>
      <c r="M467" s="79">
        <v>6</v>
      </c>
      <c r="N467" s="90">
        <v>9006</v>
      </c>
    </row>
    <row r="468" spans="1:14">
      <c r="A468" s="78">
        <v>1151947043</v>
      </c>
      <c r="B468" s="79">
        <v>69</v>
      </c>
      <c r="C468" s="79">
        <v>2</v>
      </c>
      <c r="D468" s="79">
        <v>16</v>
      </c>
      <c r="E468" s="79">
        <v>7</v>
      </c>
      <c r="F468" s="79">
        <v>9572500</v>
      </c>
      <c r="G468" s="79">
        <v>110751179.38</v>
      </c>
      <c r="H468" s="79">
        <v>0</v>
      </c>
      <c r="I468" s="79">
        <v>19455588</v>
      </c>
      <c r="J468" s="79">
        <v>0</v>
      </c>
      <c r="K468" s="79">
        <v>5</v>
      </c>
      <c r="L468" s="79">
        <v>10</v>
      </c>
      <c r="M468" s="79">
        <v>11</v>
      </c>
      <c r="N468" s="90">
        <v>9009</v>
      </c>
    </row>
    <row r="469" spans="1:14">
      <c r="A469" s="78">
        <v>1130597421</v>
      </c>
      <c r="B469" s="79">
        <v>59</v>
      </c>
      <c r="C469" s="79">
        <v>2</v>
      </c>
      <c r="D469" s="79">
        <v>15</v>
      </c>
      <c r="E469" s="79">
        <v>2</v>
      </c>
      <c r="F469" s="79">
        <v>3219610</v>
      </c>
      <c r="G469" s="79">
        <v>97480000</v>
      </c>
      <c r="H469" s="79">
        <v>0</v>
      </c>
      <c r="I469" s="79">
        <v>110006719</v>
      </c>
      <c r="J469" s="79">
        <v>0</v>
      </c>
      <c r="K469" s="79">
        <v>7</v>
      </c>
      <c r="L469" s="79">
        <v>8</v>
      </c>
      <c r="M469" s="79">
        <v>6</v>
      </c>
      <c r="N469" s="90">
        <v>9002</v>
      </c>
    </row>
    <row r="470" spans="1:14">
      <c r="A470" s="78">
        <v>1130612571</v>
      </c>
      <c r="B470" s="79">
        <v>84</v>
      </c>
      <c r="C470" s="79">
        <v>6</v>
      </c>
      <c r="D470" s="79">
        <v>12</v>
      </c>
      <c r="E470" s="79">
        <v>1</v>
      </c>
      <c r="F470" s="79">
        <v>3690000</v>
      </c>
      <c r="G470" s="79">
        <v>38300000</v>
      </c>
      <c r="H470" s="79">
        <v>0</v>
      </c>
      <c r="I470" s="79">
        <v>89389413</v>
      </c>
      <c r="J470" s="79">
        <v>0</v>
      </c>
      <c r="K470" s="79">
        <v>3</v>
      </c>
      <c r="L470" s="79">
        <v>3</v>
      </c>
      <c r="M470" s="79">
        <v>6</v>
      </c>
      <c r="N470" s="90">
        <v>9006</v>
      </c>
    </row>
    <row r="471" spans="1:14">
      <c r="A471" s="78">
        <v>1022981259</v>
      </c>
      <c r="B471" s="79">
        <v>87</v>
      </c>
      <c r="C471" s="79">
        <v>2</v>
      </c>
      <c r="D471" s="79">
        <v>16</v>
      </c>
      <c r="E471" s="79">
        <v>4</v>
      </c>
      <c r="F471" s="79">
        <v>1457500</v>
      </c>
      <c r="G471" s="79">
        <v>69100000</v>
      </c>
      <c r="H471" s="79">
        <v>15300000</v>
      </c>
      <c r="I471" s="79">
        <v>25430000</v>
      </c>
      <c r="J471" s="79">
        <v>0</v>
      </c>
      <c r="K471" s="79">
        <v>2</v>
      </c>
      <c r="L471" s="79">
        <v>9</v>
      </c>
      <c r="M471" s="79">
        <v>9</v>
      </c>
      <c r="N471" s="90">
        <v>9004</v>
      </c>
    </row>
    <row r="472" spans="1:14">
      <c r="A472" s="78">
        <v>1069584339</v>
      </c>
      <c r="B472" s="79">
        <v>63</v>
      </c>
      <c r="C472" s="79">
        <v>2</v>
      </c>
      <c r="D472" s="79">
        <v>7</v>
      </c>
      <c r="E472" s="79">
        <v>3</v>
      </c>
      <c r="F472" s="79">
        <v>3197500</v>
      </c>
      <c r="G472" s="79">
        <v>23000000</v>
      </c>
      <c r="H472" s="79">
        <v>0</v>
      </c>
      <c r="I472" s="79">
        <v>17419201</v>
      </c>
      <c r="J472" s="79">
        <v>0</v>
      </c>
      <c r="K472" s="79">
        <v>1</v>
      </c>
      <c r="L472" s="79">
        <v>2</v>
      </c>
      <c r="M472" s="79">
        <v>4</v>
      </c>
      <c r="N472" s="90">
        <v>9004</v>
      </c>
    </row>
    <row r="473" spans="1:14">
      <c r="A473" s="78">
        <v>1037606667</v>
      </c>
      <c r="B473" s="79">
        <v>55</v>
      </c>
      <c r="C473" s="79">
        <v>3</v>
      </c>
      <c r="D473" s="79">
        <v>18</v>
      </c>
      <c r="E473" s="79">
        <v>4</v>
      </c>
      <c r="F473" s="79">
        <v>4532000</v>
      </c>
      <c r="G473" s="79">
        <v>70900000</v>
      </c>
      <c r="H473" s="79">
        <v>0</v>
      </c>
      <c r="I473" s="79">
        <v>78046233</v>
      </c>
      <c r="J473" s="79">
        <v>0</v>
      </c>
      <c r="K473" s="79">
        <v>6</v>
      </c>
      <c r="L473" s="79">
        <v>5</v>
      </c>
      <c r="M473" s="79">
        <v>6</v>
      </c>
      <c r="N473" s="90">
        <v>9006</v>
      </c>
    </row>
    <row r="474" spans="1:14">
      <c r="A474" s="78">
        <v>1152204752</v>
      </c>
      <c r="B474" s="79">
        <v>28</v>
      </c>
      <c r="C474" s="79">
        <v>3</v>
      </c>
      <c r="D474" s="79">
        <v>1</v>
      </c>
      <c r="E474" s="79">
        <v>1</v>
      </c>
      <c r="F474" s="79">
        <v>1635833.3333333333</v>
      </c>
      <c r="G474" s="79">
        <v>73710000</v>
      </c>
      <c r="H474" s="79">
        <v>0</v>
      </c>
      <c r="I474" s="79">
        <v>53345309</v>
      </c>
      <c r="J474" s="79">
        <v>0</v>
      </c>
      <c r="K474" s="79">
        <v>3</v>
      </c>
      <c r="L474" s="79">
        <v>3</v>
      </c>
      <c r="M474" s="79">
        <v>6</v>
      </c>
      <c r="N474" s="90">
        <v>9006</v>
      </c>
    </row>
    <row r="475" spans="1:14">
      <c r="A475" s="78">
        <v>1032389982</v>
      </c>
      <c r="B475" s="79">
        <v>109</v>
      </c>
      <c r="C475" s="79">
        <v>0</v>
      </c>
      <c r="D475" s="79">
        <v>11</v>
      </c>
      <c r="E475" s="79">
        <v>1</v>
      </c>
      <c r="F475" s="79">
        <v>5350000</v>
      </c>
      <c r="G475" s="79">
        <v>27100000</v>
      </c>
      <c r="H475" s="79">
        <v>5907923.4199999999</v>
      </c>
      <c r="I475" s="79">
        <v>128346000</v>
      </c>
      <c r="J475" s="79">
        <v>0</v>
      </c>
      <c r="K475" s="79">
        <v>1</v>
      </c>
      <c r="L475" s="79">
        <v>7</v>
      </c>
      <c r="M475" s="79">
        <v>2</v>
      </c>
      <c r="N475" s="90">
        <v>9005</v>
      </c>
    </row>
    <row r="476" spans="1:14">
      <c r="A476" s="78">
        <v>63552070</v>
      </c>
      <c r="B476" s="79">
        <v>34</v>
      </c>
      <c r="C476" s="79">
        <v>3</v>
      </c>
      <c r="D476" s="79">
        <v>4</v>
      </c>
      <c r="E476" s="79">
        <v>10</v>
      </c>
      <c r="F476" s="79">
        <v>6303965.5</v>
      </c>
      <c r="G476" s="79">
        <v>22100000</v>
      </c>
      <c r="H476" s="79">
        <v>0</v>
      </c>
      <c r="I476" s="79">
        <v>78150453</v>
      </c>
      <c r="J476" s="79">
        <v>0</v>
      </c>
      <c r="K476" s="79">
        <v>1</v>
      </c>
      <c r="L476" s="79">
        <v>6</v>
      </c>
      <c r="M476" s="79">
        <v>7</v>
      </c>
      <c r="N476" s="90">
        <v>9006</v>
      </c>
    </row>
    <row r="477" spans="1:14">
      <c r="A477" s="78">
        <v>1033749808</v>
      </c>
      <c r="B477" s="79">
        <v>27</v>
      </c>
      <c r="C477" s="79">
        <v>0</v>
      </c>
      <c r="D477" s="79">
        <v>1</v>
      </c>
      <c r="E477" s="79">
        <v>1</v>
      </c>
      <c r="F477" s="79">
        <v>687244.83333333337</v>
      </c>
      <c r="G477" s="79">
        <v>0</v>
      </c>
      <c r="H477" s="79">
        <v>50700000</v>
      </c>
      <c r="I477" s="79">
        <v>0</v>
      </c>
      <c r="J477" s="79">
        <v>0</v>
      </c>
      <c r="K477" s="79">
        <v>1</v>
      </c>
      <c r="L477" s="79">
        <v>9</v>
      </c>
      <c r="M477" s="79">
        <v>3</v>
      </c>
      <c r="N477" s="90">
        <v>9009</v>
      </c>
    </row>
    <row r="478" spans="1:14">
      <c r="A478" s="78">
        <v>1010161953</v>
      </c>
      <c r="B478" s="79">
        <v>127</v>
      </c>
      <c r="C478" s="79">
        <v>10</v>
      </c>
      <c r="D478" s="79">
        <v>0</v>
      </c>
      <c r="E478" s="79">
        <v>1</v>
      </c>
      <c r="F478" s="79">
        <v>6082217.916666666</v>
      </c>
      <c r="G478" s="79">
        <v>111200000</v>
      </c>
      <c r="H478" s="79">
        <v>63000000</v>
      </c>
      <c r="I478" s="79">
        <v>26489477</v>
      </c>
      <c r="J478" s="79">
        <v>0</v>
      </c>
      <c r="K478" s="79">
        <v>2</v>
      </c>
      <c r="L478" s="79">
        <v>7</v>
      </c>
      <c r="M478" s="79">
        <v>6</v>
      </c>
      <c r="N478" s="90">
        <v>9002</v>
      </c>
    </row>
    <row r="479" spans="1:14">
      <c r="A479" s="78">
        <v>40334560</v>
      </c>
      <c r="B479" s="79">
        <v>30</v>
      </c>
      <c r="C479" s="79">
        <v>0</v>
      </c>
      <c r="D479" s="79">
        <v>2</v>
      </c>
      <c r="E479" s="79">
        <v>2</v>
      </c>
      <c r="F479" s="79">
        <v>370000</v>
      </c>
      <c r="G479" s="79">
        <v>0</v>
      </c>
      <c r="H479" s="79">
        <v>0</v>
      </c>
      <c r="I479" s="79">
        <v>16081227</v>
      </c>
      <c r="J479" s="79">
        <v>0</v>
      </c>
      <c r="K479" s="79">
        <v>0</v>
      </c>
      <c r="L479" s="79">
        <v>0</v>
      </c>
      <c r="M479" s="79">
        <v>0</v>
      </c>
      <c r="N479" s="90">
        <v>9001</v>
      </c>
    </row>
    <row r="480" spans="1:14">
      <c r="A480" s="78">
        <v>1107064830</v>
      </c>
      <c r="B480" s="79">
        <v>78</v>
      </c>
      <c r="C480" s="79">
        <v>3</v>
      </c>
      <c r="D480" s="79">
        <v>12</v>
      </c>
      <c r="E480" s="79">
        <v>4</v>
      </c>
      <c r="F480" s="79">
        <v>6819040.833333333</v>
      </c>
      <c r="G480" s="79">
        <v>47370000</v>
      </c>
      <c r="H480" s="79">
        <v>0</v>
      </c>
      <c r="I480" s="79">
        <v>21107058</v>
      </c>
      <c r="J480" s="79">
        <v>0</v>
      </c>
      <c r="K480" s="79">
        <v>3</v>
      </c>
      <c r="L480" s="79">
        <v>5</v>
      </c>
      <c r="M480" s="79">
        <v>6</v>
      </c>
      <c r="N480" s="90">
        <v>9003</v>
      </c>
    </row>
    <row r="481" spans="1:14">
      <c r="A481" s="78">
        <v>9295484</v>
      </c>
      <c r="B481" s="79">
        <v>126</v>
      </c>
      <c r="C481" s="79">
        <v>3</v>
      </c>
      <c r="D481" s="79">
        <v>6</v>
      </c>
      <c r="E481" s="79">
        <v>1</v>
      </c>
      <c r="F481" s="79">
        <v>6185705.5</v>
      </c>
      <c r="G481" s="79">
        <v>87300000</v>
      </c>
      <c r="H481" s="79">
        <v>31300000</v>
      </c>
      <c r="I481" s="79">
        <v>73709525</v>
      </c>
      <c r="J481" s="79">
        <v>0</v>
      </c>
      <c r="K481" s="79">
        <v>0</v>
      </c>
      <c r="L481" s="79">
        <v>6</v>
      </c>
      <c r="M481" s="79">
        <v>9</v>
      </c>
      <c r="N481" s="90">
        <v>9001</v>
      </c>
    </row>
    <row r="482" spans="1:14">
      <c r="A482" s="78">
        <v>53093283</v>
      </c>
      <c r="B482" s="79">
        <v>30</v>
      </c>
      <c r="C482" s="79">
        <v>2</v>
      </c>
      <c r="D482" s="79">
        <v>4</v>
      </c>
      <c r="E482" s="79">
        <v>0</v>
      </c>
      <c r="F482" s="79">
        <v>2460000</v>
      </c>
      <c r="G482" s="79">
        <v>34000000</v>
      </c>
      <c r="H482" s="79">
        <v>26500000</v>
      </c>
      <c r="I482" s="79">
        <v>59503590</v>
      </c>
      <c r="J482" s="79">
        <v>0</v>
      </c>
      <c r="K482" s="79">
        <v>1</v>
      </c>
      <c r="L482" s="79">
        <v>3</v>
      </c>
      <c r="M482" s="79">
        <v>2</v>
      </c>
      <c r="N482" s="90">
        <v>9005</v>
      </c>
    </row>
    <row r="483" spans="1:14">
      <c r="A483" s="78">
        <v>1144166407</v>
      </c>
      <c r="B483" s="79">
        <v>53</v>
      </c>
      <c r="C483" s="79">
        <v>7</v>
      </c>
      <c r="D483" s="79">
        <v>6</v>
      </c>
      <c r="E483" s="79">
        <v>0</v>
      </c>
      <c r="F483" s="79">
        <v>1865000</v>
      </c>
      <c r="G483" s="79">
        <v>68300000</v>
      </c>
      <c r="H483" s="79">
        <v>0</v>
      </c>
      <c r="I483" s="79">
        <v>63631800</v>
      </c>
      <c r="J483" s="79">
        <v>0</v>
      </c>
      <c r="K483" s="79">
        <v>2</v>
      </c>
      <c r="L483" s="79">
        <v>4</v>
      </c>
      <c r="M483" s="79">
        <v>10</v>
      </c>
      <c r="N483" s="90"/>
    </row>
    <row r="484" spans="1:14">
      <c r="A484" s="78">
        <v>1023890332</v>
      </c>
      <c r="B484" s="79">
        <v>63</v>
      </c>
      <c r="C484" s="79">
        <v>4</v>
      </c>
      <c r="D484" s="79">
        <v>3</v>
      </c>
      <c r="E484" s="79">
        <v>2</v>
      </c>
      <c r="F484" s="79">
        <v>8287828.916666667</v>
      </c>
      <c r="G484" s="79">
        <v>3500000</v>
      </c>
      <c r="H484" s="79">
        <v>42500000</v>
      </c>
      <c r="I484" s="79">
        <v>47741754</v>
      </c>
      <c r="J484" s="79">
        <v>0</v>
      </c>
      <c r="K484" s="79">
        <v>6</v>
      </c>
      <c r="L484" s="79">
        <v>15</v>
      </c>
      <c r="M484" s="79">
        <v>15</v>
      </c>
      <c r="N484" s="90"/>
    </row>
    <row r="485" spans="1:14">
      <c r="A485" s="78">
        <v>1110503292</v>
      </c>
      <c r="B485" s="79">
        <v>59</v>
      </c>
      <c r="C485" s="79">
        <v>2</v>
      </c>
      <c r="D485" s="79">
        <v>13</v>
      </c>
      <c r="E485" s="79">
        <v>3</v>
      </c>
      <c r="F485" s="79">
        <v>6072959.75</v>
      </c>
      <c r="G485" s="79">
        <v>72833710.450000003</v>
      </c>
      <c r="H485" s="79">
        <v>0</v>
      </c>
      <c r="I485" s="79">
        <v>62285460</v>
      </c>
      <c r="J485" s="79">
        <v>0</v>
      </c>
      <c r="K485" s="79">
        <v>6</v>
      </c>
      <c r="L485" s="79">
        <v>5</v>
      </c>
      <c r="M485" s="79">
        <v>7</v>
      </c>
      <c r="N485" s="90"/>
    </row>
    <row r="486" spans="1:14">
      <c r="A486" s="78">
        <v>1113634883</v>
      </c>
      <c r="B486" s="79">
        <v>43</v>
      </c>
      <c r="C486" s="79">
        <v>2</v>
      </c>
      <c r="D486" s="79">
        <v>15</v>
      </c>
      <c r="E486" s="79">
        <v>2</v>
      </c>
      <c r="F486" s="79">
        <v>4353376.666666667</v>
      </c>
      <c r="G486" s="79">
        <v>124300000</v>
      </c>
      <c r="H486" s="79">
        <v>0</v>
      </c>
      <c r="I486" s="79">
        <v>89060634</v>
      </c>
      <c r="J486" s="79">
        <v>0</v>
      </c>
      <c r="K486" s="79">
        <v>7</v>
      </c>
      <c r="L486" s="79">
        <v>10</v>
      </c>
      <c r="M486" s="79">
        <v>5</v>
      </c>
      <c r="N486" s="90"/>
    </row>
    <row r="487" spans="1:14">
      <c r="A487" s="78">
        <v>1130672714</v>
      </c>
      <c r="B487" s="79">
        <v>50</v>
      </c>
      <c r="C487" s="79">
        <v>3</v>
      </c>
      <c r="D487" s="79">
        <v>7</v>
      </c>
      <c r="E487" s="79">
        <v>4</v>
      </c>
      <c r="F487" s="79">
        <v>1865000</v>
      </c>
      <c r="G487" s="79">
        <v>-14000000</v>
      </c>
      <c r="H487" s="79">
        <v>6500000</v>
      </c>
      <c r="I487" s="79">
        <v>16409000</v>
      </c>
      <c r="J487" s="79">
        <v>0</v>
      </c>
      <c r="K487" s="79">
        <v>5</v>
      </c>
      <c r="L487" s="79">
        <v>8</v>
      </c>
      <c r="M487" s="79">
        <v>6</v>
      </c>
      <c r="N487" s="90"/>
    </row>
    <row r="488" spans="1:14">
      <c r="A488" s="78">
        <v>1088308878</v>
      </c>
      <c r="B488" s="79">
        <v>67</v>
      </c>
      <c r="C488" s="79">
        <v>7</v>
      </c>
      <c r="D488" s="79">
        <v>17</v>
      </c>
      <c r="E488" s="79">
        <v>9</v>
      </c>
      <c r="F488" s="79">
        <v>11130000</v>
      </c>
      <c r="G488" s="79">
        <v>95471369.430000007</v>
      </c>
      <c r="H488" s="79">
        <v>41000000</v>
      </c>
      <c r="I488" s="79">
        <v>91598137</v>
      </c>
      <c r="J488" s="79">
        <v>0</v>
      </c>
      <c r="K488" s="79">
        <v>7</v>
      </c>
      <c r="L488" s="79">
        <v>11</v>
      </c>
      <c r="M488" s="79">
        <v>9</v>
      </c>
      <c r="N488" s="90"/>
    </row>
    <row r="489" spans="1:14">
      <c r="A489" s="78">
        <v>1130670335</v>
      </c>
      <c r="B489" s="79">
        <v>43</v>
      </c>
      <c r="C489" s="79">
        <v>2</v>
      </c>
      <c r="D489" s="79">
        <v>8</v>
      </c>
      <c r="E489" s="79">
        <v>0</v>
      </c>
      <c r="F489" s="79">
        <v>3625307.75</v>
      </c>
      <c r="G489" s="79">
        <v>53000000</v>
      </c>
      <c r="H489" s="79">
        <v>0</v>
      </c>
      <c r="I489" s="79">
        <v>40819851</v>
      </c>
      <c r="J489" s="79">
        <v>0</v>
      </c>
      <c r="K489" s="79">
        <v>2</v>
      </c>
      <c r="L489" s="79">
        <v>3</v>
      </c>
      <c r="M489" s="79">
        <v>2</v>
      </c>
      <c r="N489" s="90"/>
    </row>
    <row r="490" spans="1:14">
      <c r="A490" s="78">
        <v>1144168987</v>
      </c>
      <c r="B490" s="79">
        <v>32</v>
      </c>
      <c r="C490" s="79">
        <v>4</v>
      </c>
      <c r="D490" s="79">
        <v>1</v>
      </c>
      <c r="E490" s="79">
        <v>1</v>
      </c>
      <c r="F490" s="79">
        <v>2078833.3333333333</v>
      </c>
      <c r="G490" s="79">
        <v>23000000</v>
      </c>
      <c r="H490" s="79">
        <v>0</v>
      </c>
      <c r="I490" s="79">
        <v>38164095</v>
      </c>
      <c r="J490" s="79">
        <v>0</v>
      </c>
      <c r="K490" s="79">
        <v>1</v>
      </c>
      <c r="L490" s="79">
        <v>10</v>
      </c>
      <c r="M490" s="79">
        <v>5</v>
      </c>
      <c r="N490" s="90"/>
    </row>
    <row r="491" spans="1:14">
      <c r="A491" s="78">
        <v>37321903</v>
      </c>
      <c r="B491" s="79">
        <v>0</v>
      </c>
      <c r="C491" s="79">
        <v>0</v>
      </c>
      <c r="D491" s="79">
        <v>0</v>
      </c>
      <c r="E491" s="79">
        <v>0</v>
      </c>
      <c r="F491" s="79">
        <v>0</v>
      </c>
      <c r="G491" s="79">
        <v>0</v>
      </c>
      <c r="H491" s="79">
        <v>0</v>
      </c>
      <c r="I491" s="79">
        <v>0</v>
      </c>
      <c r="J491" s="79">
        <v>0</v>
      </c>
      <c r="K491" s="79">
        <v>0</v>
      </c>
      <c r="L491" s="79">
        <v>0</v>
      </c>
      <c r="M491" s="79">
        <v>0</v>
      </c>
      <c r="N491" s="90"/>
    </row>
    <row r="492" spans="1:14">
      <c r="A492" s="78">
        <v>1019088583</v>
      </c>
      <c r="B492" s="79">
        <v>50</v>
      </c>
      <c r="C492" s="79">
        <v>3</v>
      </c>
      <c r="D492" s="79">
        <v>2</v>
      </c>
      <c r="E492" s="79">
        <v>2</v>
      </c>
      <c r="F492" s="79">
        <v>0</v>
      </c>
      <c r="G492" s="79">
        <v>18100000</v>
      </c>
      <c r="H492" s="79">
        <v>36000000</v>
      </c>
      <c r="I492" s="79">
        <v>47253587</v>
      </c>
      <c r="J492" s="79">
        <v>0</v>
      </c>
      <c r="K492" s="79">
        <v>0</v>
      </c>
      <c r="L492" s="79">
        <v>1</v>
      </c>
      <c r="M492" s="79">
        <v>7</v>
      </c>
      <c r="N492" s="90"/>
    </row>
    <row r="493" spans="1:14">
      <c r="A493" s="78">
        <v>80807040</v>
      </c>
      <c r="B493" s="79">
        <v>85</v>
      </c>
      <c r="C493" s="79">
        <v>9</v>
      </c>
      <c r="D493" s="79">
        <v>12</v>
      </c>
      <c r="E493" s="79">
        <v>2</v>
      </c>
      <c r="F493" s="79">
        <v>5643125</v>
      </c>
      <c r="G493" s="79">
        <v>83800000</v>
      </c>
      <c r="H493" s="79">
        <v>0</v>
      </c>
      <c r="I493" s="79">
        <v>83085000</v>
      </c>
      <c r="J493" s="79">
        <v>0</v>
      </c>
      <c r="K493" s="79">
        <v>0</v>
      </c>
      <c r="L493" s="79">
        <v>10</v>
      </c>
      <c r="M493" s="79">
        <v>2</v>
      </c>
      <c r="N493" s="90"/>
    </row>
    <row r="494" spans="1:14">
      <c r="A494" s="78">
        <v>80058124</v>
      </c>
      <c r="B494" s="79">
        <v>74</v>
      </c>
      <c r="C494" s="79">
        <v>1</v>
      </c>
      <c r="D494" s="79">
        <v>8</v>
      </c>
      <c r="E494" s="79">
        <v>6</v>
      </c>
      <c r="F494" s="79">
        <v>1785000</v>
      </c>
      <c r="G494" s="79">
        <v>50500000</v>
      </c>
      <c r="H494" s="79">
        <v>14700000</v>
      </c>
      <c r="I494" s="79">
        <v>59417965</v>
      </c>
      <c r="J494" s="79">
        <v>0</v>
      </c>
      <c r="K494" s="79">
        <v>1</v>
      </c>
      <c r="L494" s="79">
        <v>3</v>
      </c>
      <c r="M494" s="79">
        <v>2</v>
      </c>
      <c r="N494" s="90"/>
    </row>
    <row r="495" spans="1:14">
      <c r="A495" s="78">
        <v>52067261</v>
      </c>
      <c r="B495" s="79">
        <v>78</v>
      </c>
      <c r="C495" s="79">
        <v>6</v>
      </c>
      <c r="D495" s="79">
        <v>12</v>
      </c>
      <c r="E495" s="79">
        <v>4</v>
      </c>
      <c r="F495" s="79">
        <v>11029666.666666666</v>
      </c>
      <c r="G495" s="79">
        <v>97600000</v>
      </c>
      <c r="H495" s="79">
        <v>0</v>
      </c>
      <c r="I495" s="79">
        <v>139130000</v>
      </c>
      <c r="J495" s="79">
        <v>0</v>
      </c>
      <c r="K495" s="79">
        <v>4</v>
      </c>
      <c r="L495" s="79">
        <v>9</v>
      </c>
      <c r="M495" s="79">
        <v>10</v>
      </c>
      <c r="N495" s="90"/>
    </row>
    <row r="496" spans="1:14">
      <c r="A496" s="78">
        <v>1088008856</v>
      </c>
      <c r="B496" s="79">
        <v>99</v>
      </c>
      <c r="C496" s="79">
        <v>6</v>
      </c>
      <c r="D496" s="79">
        <v>19</v>
      </c>
      <c r="E496" s="79">
        <v>4</v>
      </c>
      <c r="F496" s="79">
        <v>9349645.833333334</v>
      </c>
      <c r="G496" s="79">
        <v>79300000</v>
      </c>
      <c r="H496" s="79">
        <v>17000000</v>
      </c>
      <c r="I496" s="79">
        <v>58564000</v>
      </c>
      <c r="J496" s="79">
        <v>0</v>
      </c>
      <c r="K496" s="79">
        <v>11</v>
      </c>
      <c r="L496" s="79">
        <v>16</v>
      </c>
      <c r="M496" s="79">
        <v>16</v>
      </c>
      <c r="N496" s="90"/>
    </row>
    <row r="497" spans="2:14">
      <c r="B497" s="80">
        <f>SUM(B2:B496)</f>
        <v>30842</v>
      </c>
      <c r="C497" s="80">
        <f t="shared" ref="C497:M497" si="0">SUM(C2:C496)</f>
        <v>1503</v>
      </c>
      <c r="D497" s="80">
        <f t="shared" si="0"/>
        <v>4249</v>
      </c>
      <c r="E497" s="80">
        <f t="shared" si="0"/>
        <v>1405</v>
      </c>
      <c r="F497" s="80">
        <f t="shared" si="0"/>
        <v>2385296695.583333</v>
      </c>
      <c r="G497" s="80">
        <f t="shared" si="0"/>
        <v>32420294244.840004</v>
      </c>
      <c r="H497" s="80">
        <f t="shared" si="0"/>
        <v>6883377321.8300028</v>
      </c>
      <c r="I497" s="80">
        <f t="shared" si="0"/>
        <v>28889158084</v>
      </c>
      <c r="J497" s="80">
        <f t="shared" si="0"/>
        <v>559389000</v>
      </c>
      <c r="K497" s="80">
        <f t="shared" si="0"/>
        <v>1489</v>
      </c>
      <c r="L497" s="80">
        <f t="shared" si="0"/>
        <v>3458</v>
      </c>
      <c r="M497" s="80">
        <f t="shared" si="0"/>
        <v>2907</v>
      </c>
      <c r="N497" s="9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B2:EJ508"/>
  <sheetViews>
    <sheetView showGridLines="0" topLeftCell="C3" zoomScale="70" zoomScaleNormal="70" workbookViewId="0">
      <selection activeCell="J11" sqref="J11:J491"/>
    </sheetView>
  </sheetViews>
  <sheetFormatPr baseColWidth="10" defaultColWidth="11.5703125" defaultRowHeight="13.9" customHeight="1"/>
  <cols>
    <col min="1" max="1" width="11.5703125" style="39"/>
    <col min="2" max="2" width="2.7109375" style="39" customWidth="1"/>
    <col min="3" max="3" width="12.7109375" style="39" bestFit="1" customWidth="1"/>
    <col min="4" max="4" width="13" style="39" bestFit="1" customWidth="1"/>
    <col min="5" max="5" width="15.85546875" style="39" bestFit="1" customWidth="1"/>
    <col min="6" max="6" width="42" style="39" bestFit="1" customWidth="1"/>
    <col min="7" max="7" width="46.7109375" style="58" bestFit="1" customWidth="1"/>
    <col min="8" max="8" width="11.7109375" style="39" bestFit="1" customWidth="1"/>
    <col min="9" max="9" width="28.85546875" style="39" customWidth="1"/>
    <col min="10" max="10" width="27.7109375" style="39" customWidth="1"/>
    <col min="11" max="11" width="7.28515625" style="39" customWidth="1"/>
    <col min="12" max="12" width="15.28515625" style="39" customWidth="1"/>
    <col min="13" max="13" width="9.140625" style="39" customWidth="1"/>
    <col min="14" max="14" width="10.5703125" style="39" bestFit="1" customWidth="1"/>
    <col min="15" max="15" width="15.42578125" style="39" customWidth="1"/>
    <col min="16" max="16" width="33" style="39" customWidth="1"/>
    <col min="17" max="17" width="28.85546875" style="39" bestFit="1" customWidth="1"/>
    <col min="18" max="18" width="33" style="39" customWidth="1"/>
    <col min="19" max="19" width="28.85546875" style="39" customWidth="1"/>
    <col min="20" max="20" width="39.28515625" style="39" bestFit="1" customWidth="1"/>
    <col min="21" max="21" width="35.28515625" style="39" bestFit="1" customWidth="1"/>
    <col min="22" max="22" width="11.5703125" style="39"/>
    <col min="23" max="23" width="15.42578125" style="39" customWidth="1"/>
    <col min="24" max="24" width="22.5703125" style="39" customWidth="1"/>
    <col min="25" max="25" width="31.5703125" style="39" customWidth="1"/>
    <col min="26" max="26" width="28.42578125" style="39" customWidth="1"/>
    <col min="27" max="27" width="21.5703125" style="39" customWidth="1"/>
    <col min="28" max="28" width="5.42578125" style="39" customWidth="1"/>
    <col min="29" max="29" width="6.85546875" style="39" customWidth="1"/>
    <col min="30" max="33" width="5.42578125" style="39" customWidth="1"/>
    <col min="34" max="34" width="5.85546875" style="39" customWidth="1"/>
    <col min="35" max="35" width="5.42578125" style="39" customWidth="1"/>
    <col min="36" max="43" width="5.85546875" style="39" customWidth="1"/>
    <col min="44" max="44" width="5.42578125" style="39" customWidth="1"/>
    <col min="45" max="53" width="5.85546875" style="39" customWidth="1"/>
    <col min="54" max="54" width="5.42578125" style="39" customWidth="1"/>
    <col min="55" max="63" width="5.85546875" style="39" customWidth="1"/>
    <col min="64" max="64" width="5.42578125" style="39" customWidth="1"/>
    <col min="65" max="73" width="5.85546875" style="39" customWidth="1"/>
    <col min="74" max="74" width="5.42578125" style="39" customWidth="1"/>
    <col min="75" max="83" width="5.85546875" style="39" customWidth="1"/>
    <col min="84" max="84" width="5.42578125" style="39" customWidth="1"/>
    <col min="85" max="93" width="5.85546875" style="39" customWidth="1"/>
    <col min="94" max="94" width="5.42578125" style="39" customWidth="1"/>
    <col min="95" max="103" width="5.85546875" style="39" customWidth="1"/>
    <col min="104" max="104" width="5.42578125" style="39" customWidth="1"/>
    <col min="105" max="111" width="5.85546875" style="39" customWidth="1"/>
    <col min="112" max="117" width="6.7109375" style="39" customWidth="1"/>
    <col min="118" max="118" width="6.28515625" style="39" customWidth="1"/>
    <col min="119" max="119" width="5.85546875" style="39" customWidth="1"/>
    <col min="120" max="123" width="6.28515625" style="39" customWidth="1"/>
    <col min="124" max="134" width="6.7109375" style="39" customWidth="1"/>
    <col min="135" max="135" width="7.140625" style="39" customWidth="1"/>
    <col min="136" max="137" width="6.7109375" style="39" customWidth="1"/>
    <col min="138" max="138" width="7.140625" style="39" customWidth="1"/>
    <col min="139" max="139" width="6.7109375" style="39" customWidth="1"/>
    <col min="140" max="140" width="17.28515625" style="39" bestFit="1" customWidth="1"/>
    <col min="141" max="16384" width="11.5703125" style="39"/>
  </cols>
  <sheetData>
    <row r="2" spans="2:30" ht="13.9" customHeight="1">
      <c r="B2" s="38" t="s">
        <v>47</v>
      </c>
      <c r="C2" s="38"/>
    </row>
    <row r="4" spans="2:30" ht="35.1" customHeight="1">
      <c r="B4" s="60">
        <v>1</v>
      </c>
      <c r="C4" s="99" t="s">
        <v>740</v>
      </c>
      <c r="D4" s="99"/>
      <c r="E4" s="99"/>
      <c r="F4" s="99"/>
      <c r="G4" s="99"/>
      <c r="H4" s="41"/>
    </row>
    <row r="5" spans="2:30" ht="35.1" customHeight="1">
      <c r="B5" s="60">
        <v>2</v>
      </c>
      <c r="C5" s="99" t="s">
        <v>739</v>
      </c>
      <c r="D5" s="99"/>
      <c r="E5" s="99"/>
      <c r="F5" s="99"/>
      <c r="G5" s="99"/>
      <c r="H5" s="41"/>
    </row>
    <row r="6" spans="2:30" ht="54" customHeight="1">
      <c r="B6" s="60"/>
      <c r="C6" s="100"/>
      <c r="D6" s="100"/>
      <c r="E6" s="100"/>
      <c r="F6" s="100"/>
      <c r="G6" s="100"/>
      <c r="H6" s="41"/>
    </row>
    <row r="7" spans="2:30" ht="13.9" customHeight="1">
      <c r="B7" s="60"/>
      <c r="D7" s="41"/>
      <c r="E7" s="41"/>
      <c r="F7" s="41"/>
      <c r="G7" s="59"/>
      <c r="H7" s="41"/>
      <c r="I7" s="62">
        <v>1</v>
      </c>
    </row>
    <row r="8" spans="2:30" ht="13.9" customHeight="1">
      <c r="C8" s="41"/>
      <c r="D8" s="41"/>
      <c r="E8" s="41"/>
      <c r="F8" s="41"/>
      <c r="G8" s="59"/>
      <c r="H8" s="41"/>
      <c r="I8"/>
      <c r="J8"/>
      <c r="K8"/>
      <c r="L8"/>
      <c r="M8"/>
      <c r="N8"/>
      <c r="O8"/>
      <c r="P8"/>
    </row>
    <row r="9" spans="2:30" s="55" customFormat="1" ht="16.5" thickBot="1">
      <c r="C9" s="101" t="s">
        <v>64</v>
      </c>
      <c r="D9" s="101"/>
      <c r="E9" s="101"/>
      <c r="F9" s="101"/>
      <c r="G9" s="101"/>
      <c r="H9" s="101"/>
      <c r="I9" s="101"/>
      <c r="J9" s="102" t="s">
        <v>65</v>
      </c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</row>
    <row r="10" spans="2:30" s="55" customFormat="1" ht="60.75" thickBot="1">
      <c r="C10" s="63" t="s">
        <v>66</v>
      </c>
      <c r="D10" s="64" t="s">
        <v>67</v>
      </c>
      <c r="E10" s="64" t="s">
        <v>68</v>
      </c>
      <c r="F10" s="64" t="s">
        <v>69</v>
      </c>
      <c r="G10" s="64" t="s">
        <v>0</v>
      </c>
      <c r="H10" s="64" t="s">
        <v>70</v>
      </c>
      <c r="I10" s="64" t="s">
        <v>71</v>
      </c>
      <c r="J10" s="65" t="s">
        <v>72</v>
      </c>
      <c r="K10" s="66" t="s">
        <v>73</v>
      </c>
      <c r="L10" s="66" t="s">
        <v>74</v>
      </c>
      <c r="M10" s="66" t="s">
        <v>75</v>
      </c>
      <c r="N10" s="66" t="s">
        <v>76</v>
      </c>
      <c r="O10" s="66" t="s">
        <v>77</v>
      </c>
      <c r="P10" s="67" t="s">
        <v>78</v>
      </c>
      <c r="Q10" s="67" t="s">
        <v>79</v>
      </c>
      <c r="R10" s="67" t="s">
        <v>80</v>
      </c>
      <c r="S10" s="67" t="s">
        <v>81</v>
      </c>
      <c r="T10" s="67" t="s">
        <v>82</v>
      </c>
      <c r="U10" s="68" t="s">
        <v>83</v>
      </c>
      <c r="W10" s="82" t="s">
        <v>71</v>
      </c>
      <c r="X10" t="s">
        <v>743</v>
      </c>
      <c r="Y10" t="s">
        <v>744</v>
      </c>
      <c r="AA10" s="98" t="s">
        <v>756</v>
      </c>
      <c r="AB10" s="98"/>
      <c r="AC10" s="98"/>
      <c r="AD10" s="98"/>
    </row>
    <row r="11" spans="2:30" s="55" customFormat="1" ht="15.75">
      <c r="C11" s="69">
        <v>9375240</v>
      </c>
      <c r="D11" s="70">
        <v>12</v>
      </c>
      <c r="E11" s="70">
        <v>9658</v>
      </c>
      <c r="F11" s="70" t="s">
        <v>84</v>
      </c>
      <c r="G11" s="70" t="s">
        <v>85</v>
      </c>
      <c r="H11" s="70" t="s">
        <v>86</v>
      </c>
      <c r="I11" s="70">
        <v>9002</v>
      </c>
      <c r="J11" s="71">
        <f>VLOOKUP(C11,'Base ejecuciones Oct-17 (2)'!A1:M496,2,0)</f>
        <v>64</v>
      </c>
      <c r="K11" s="71"/>
      <c r="L11" s="71">
        <f>VLOOKUP(C11,'Base ejecuciones Oct-17 (2)'!A2:M496,4,0)</f>
        <v>12</v>
      </c>
      <c r="M11" s="71"/>
      <c r="N11" s="71"/>
      <c r="O11" s="71"/>
      <c r="P11" s="71"/>
      <c r="Q11" s="71"/>
      <c r="R11" s="71"/>
      <c r="S11" s="71"/>
      <c r="T11" s="71"/>
      <c r="U11" s="71"/>
      <c r="W11" s="70">
        <v>9001</v>
      </c>
      <c r="X11" s="81">
        <v>4040</v>
      </c>
      <c r="Y11" s="81">
        <v>565</v>
      </c>
      <c r="Z11" s="96"/>
      <c r="AA11" s="81">
        <v>565</v>
      </c>
      <c r="AC11" s="96">
        <f>+AA11/$AA$20</f>
        <v>0.13552410650035979</v>
      </c>
    </row>
    <row r="12" spans="2:30" s="55" customFormat="1" ht="13.9" customHeight="1">
      <c r="C12" s="69">
        <v>1023008416</v>
      </c>
      <c r="D12" s="70">
        <v>73</v>
      </c>
      <c r="E12" s="70">
        <v>9877</v>
      </c>
      <c r="F12" s="70" t="s">
        <v>87</v>
      </c>
      <c r="G12" s="70" t="s">
        <v>88</v>
      </c>
      <c r="H12" s="70" t="s">
        <v>86</v>
      </c>
      <c r="I12" s="70">
        <v>9004</v>
      </c>
      <c r="J12" s="71">
        <f>VLOOKUP(C12,'Base ejecuciones Oct-17 (2)'!A2:M497,2,0)</f>
        <v>93</v>
      </c>
      <c r="K12" s="71"/>
      <c r="L12" s="71">
        <f>VLOOKUP(C12,'Base ejecuciones Oct-17 (2)'!A3:M497,4,0)</f>
        <v>16</v>
      </c>
      <c r="M12" s="71"/>
      <c r="N12" s="71"/>
      <c r="O12" s="71"/>
      <c r="P12" s="71"/>
      <c r="Q12" s="71"/>
      <c r="R12" s="71"/>
      <c r="S12" s="71"/>
      <c r="T12" s="71"/>
      <c r="U12" s="71"/>
      <c r="W12" s="70">
        <v>9002</v>
      </c>
      <c r="X12" s="81">
        <v>2918</v>
      </c>
      <c r="Y12" s="81">
        <v>411</v>
      </c>
      <c r="Z12" s="96"/>
      <c r="AA12" s="81">
        <v>411</v>
      </c>
      <c r="AC12" s="96">
        <f t="shared" ref="AC12:AC19" si="0">+AA12/$AA$20</f>
        <v>9.8584792516190928E-2</v>
      </c>
    </row>
    <row r="13" spans="2:30" s="55" customFormat="1" ht="13.9" customHeight="1">
      <c r="C13" s="69">
        <v>41960913</v>
      </c>
      <c r="D13" s="70">
        <v>228</v>
      </c>
      <c r="E13" s="70">
        <v>31597</v>
      </c>
      <c r="F13" s="70" t="s">
        <v>89</v>
      </c>
      <c r="G13" s="70" t="s">
        <v>90</v>
      </c>
      <c r="H13" s="70" t="s">
        <v>86</v>
      </c>
      <c r="I13" s="70">
        <v>9005</v>
      </c>
      <c r="J13" s="71">
        <f>VLOOKUP(C13,'Base ejecuciones Oct-17 (2)'!A3:M498,2,0)</f>
        <v>61</v>
      </c>
      <c r="K13" s="71"/>
      <c r="L13" s="71">
        <f>VLOOKUP(C13,'Base ejecuciones Oct-17 (2)'!A4:M498,4,0)</f>
        <v>10</v>
      </c>
      <c r="M13" s="71"/>
      <c r="N13" s="71"/>
      <c r="O13" s="71"/>
      <c r="P13" s="71"/>
      <c r="Q13" s="71"/>
      <c r="R13" s="71"/>
      <c r="S13" s="71"/>
      <c r="T13" s="71"/>
      <c r="U13" s="71"/>
      <c r="W13" s="70">
        <v>9003</v>
      </c>
      <c r="X13" s="81">
        <v>3692</v>
      </c>
      <c r="Y13" s="81">
        <v>470</v>
      </c>
      <c r="Z13" s="96"/>
      <c r="AA13" s="81">
        <v>470</v>
      </c>
      <c r="AC13" s="96">
        <f t="shared" si="0"/>
        <v>0.11273686735428161</v>
      </c>
    </row>
    <row r="14" spans="2:30" s="55" customFormat="1" ht="13.9" customHeight="1">
      <c r="C14" s="69">
        <v>1010229345</v>
      </c>
      <c r="D14" s="70">
        <v>280</v>
      </c>
      <c r="E14" s="70">
        <v>36873</v>
      </c>
      <c r="F14" s="70" t="s">
        <v>91</v>
      </c>
      <c r="G14" s="70" t="s">
        <v>92</v>
      </c>
      <c r="H14" s="70" t="s">
        <v>86</v>
      </c>
      <c r="I14" s="70">
        <v>9003</v>
      </c>
      <c r="J14" s="71">
        <f>VLOOKUP(C14,'Base ejecuciones Oct-17 (2)'!A4:M499,2,0)</f>
        <v>63</v>
      </c>
      <c r="K14" s="71"/>
      <c r="L14" s="71">
        <f>VLOOKUP(C14,'Base ejecuciones Oct-17 (2)'!A5:M499,4,0)</f>
        <v>14</v>
      </c>
      <c r="M14" s="71"/>
      <c r="N14" s="71"/>
      <c r="O14" s="71"/>
      <c r="P14" s="71"/>
      <c r="Q14" s="71"/>
      <c r="R14" s="71"/>
      <c r="S14" s="71"/>
      <c r="T14" s="71"/>
      <c r="U14" s="71"/>
      <c r="W14" s="70">
        <v>9004</v>
      </c>
      <c r="X14" s="81">
        <v>3566</v>
      </c>
      <c r="Y14" s="81">
        <v>490</v>
      </c>
      <c r="Z14" s="96"/>
      <c r="AA14" s="81">
        <v>490</v>
      </c>
      <c r="AC14" s="96">
        <f t="shared" si="0"/>
        <v>0.11753418085871911</v>
      </c>
    </row>
    <row r="15" spans="2:30" s="55" customFormat="1" ht="13.9" customHeight="1">
      <c r="C15" s="69">
        <v>1054920307</v>
      </c>
      <c r="D15" s="70">
        <v>203</v>
      </c>
      <c r="E15" s="70">
        <v>9817</v>
      </c>
      <c r="F15" s="70" t="s">
        <v>93</v>
      </c>
      <c r="G15" s="70" t="s">
        <v>94</v>
      </c>
      <c r="H15" s="70" t="s">
        <v>86</v>
      </c>
      <c r="I15" s="70">
        <v>9005</v>
      </c>
      <c r="J15" s="71">
        <f>VLOOKUP(C15,'Base ejecuciones Oct-17 (2)'!A5:M500,2,0)</f>
        <v>80</v>
      </c>
      <c r="K15" s="71"/>
      <c r="L15" s="71">
        <f>VLOOKUP(C15,'Base ejecuciones Oct-17 (2)'!A6:M500,4,0)</f>
        <v>15</v>
      </c>
      <c r="M15" s="71"/>
      <c r="N15" s="71"/>
      <c r="O15" s="71"/>
      <c r="P15" s="71"/>
      <c r="Q15" s="71"/>
      <c r="R15" s="71"/>
      <c r="S15" s="71"/>
      <c r="T15" s="71"/>
      <c r="U15" s="71"/>
      <c r="W15" s="70">
        <v>9005</v>
      </c>
      <c r="X15" s="81">
        <v>3724</v>
      </c>
      <c r="Y15" s="81">
        <v>557</v>
      </c>
      <c r="Z15" s="96"/>
      <c r="AA15" s="81">
        <v>557</v>
      </c>
      <c r="AC15" s="96">
        <f t="shared" si="0"/>
        <v>0.1336051810985848</v>
      </c>
    </row>
    <row r="16" spans="2:30" s="55" customFormat="1" ht="15.75">
      <c r="C16" s="69">
        <v>1014256052</v>
      </c>
      <c r="D16" s="70">
        <v>69</v>
      </c>
      <c r="E16" s="70">
        <v>9983</v>
      </c>
      <c r="F16" s="70" t="s">
        <v>95</v>
      </c>
      <c r="G16" s="70" t="s">
        <v>96</v>
      </c>
      <c r="H16" s="70" t="s">
        <v>86</v>
      </c>
      <c r="I16" s="70">
        <v>9004</v>
      </c>
      <c r="J16" s="71">
        <f>VLOOKUP(C16,'Base ejecuciones Oct-17 (2)'!A6:M501,2,0)</f>
        <v>28</v>
      </c>
      <c r="K16" s="71"/>
      <c r="L16" s="71">
        <f>VLOOKUP(C16,'Base ejecuciones Oct-17 (2)'!A7:M501,4,0)</f>
        <v>14</v>
      </c>
      <c r="M16" s="71"/>
      <c r="N16" s="71"/>
      <c r="O16" s="71"/>
      <c r="P16" s="71"/>
      <c r="Q16" s="71"/>
      <c r="R16" s="71"/>
      <c r="S16" s="71"/>
      <c r="T16" s="71"/>
      <c r="U16" s="71"/>
      <c r="W16" s="70">
        <v>9006</v>
      </c>
      <c r="X16" s="81">
        <v>3542</v>
      </c>
      <c r="Y16" s="81">
        <v>457</v>
      </c>
      <c r="Z16" s="96"/>
      <c r="AA16" s="81">
        <v>457</v>
      </c>
      <c r="AC16" s="96">
        <f t="shared" si="0"/>
        <v>0.10961861357639721</v>
      </c>
    </row>
    <row r="17" spans="3:140" s="55" customFormat="1" ht="13.9" customHeight="1">
      <c r="C17" s="69">
        <v>1140864201</v>
      </c>
      <c r="D17" s="70">
        <v>102</v>
      </c>
      <c r="E17" s="70">
        <v>30978</v>
      </c>
      <c r="F17" s="70" t="s">
        <v>97</v>
      </c>
      <c r="G17" s="70" t="s">
        <v>98</v>
      </c>
      <c r="H17" s="70" t="s">
        <v>86</v>
      </c>
      <c r="I17" s="70">
        <v>9009</v>
      </c>
      <c r="J17" s="71">
        <f>VLOOKUP(C17,'Base ejecuciones Oct-17 (2)'!A7:M502,2,0)</f>
        <v>55</v>
      </c>
      <c r="K17" s="71"/>
      <c r="L17" s="71">
        <f>VLOOKUP(C17,'Base ejecuciones Oct-17 (2)'!A8:M502,4,0)</f>
        <v>10</v>
      </c>
      <c r="M17" s="71"/>
      <c r="N17" s="71"/>
      <c r="O17" s="71"/>
      <c r="P17" s="71"/>
      <c r="Q17" s="71"/>
      <c r="R17" s="71"/>
      <c r="S17" s="71"/>
      <c r="T17" s="71"/>
      <c r="U17" s="71"/>
      <c r="W17" s="70">
        <v>9007</v>
      </c>
      <c r="X17" s="81">
        <v>2858</v>
      </c>
      <c r="Y17" s="81">
        <v>443</v>
      </c>
      <c r="Z17" s="96"/>
      <c r="AA17" s="81">
        <v>443</v>
      </c>
      <c r="AC17" s="96">
        <f t="shared" si="0"/>
        <v>0.10626049412329096</v>
      </c>
    </row>
    <row r="18" spans="3:140" s="55" customFormat="1" ht="13.9" customHeight="1">
      <c r="C18" s="69">
        <v>1017126050</v>
      </c>
      <c r="D18" s="70">
        <v>862</v>
      </c>
      <c r="E18" s="70">
        <v>9834</v>
      </c>
      <c r="F18" s="70" t="s">
        <v>99</v>
      </c>
      <c r="G18" s="70" t="s">
        <v>100</v>
      </c>
      <c r="H18" s="70" t="s">
        <v>86</v>
      </c>
      <c r="I18" s="70">
        <v>9009</v>
      </c>
      <c r="J18" s="71">
        <f>VLOOKUP(C18,'Base ejecuciones Oct-17 (2)'!A8:M503,2,0)</f>
        <v>59</v>
      </c>
      <c r="K18" s="71"/>
      <c r="L18" s="71">
        <f>VLOOKUP(C18,'Base ejecuciones Oct-17 (2)'!A9:M503,4,0)</f>
        <v>0</v>
      </c>
      <c r="M18" s="71"/>
      <c r="N18" s="71"/>
      <c r="O18" s="71"/>
      <c r="P18" s="71"/>
      <c r="Q18" s="71"/>
      <c r="R18" s="71"/>
      <c r="S18" s="71"/>
      <c r="T18" s="71"/>
      <c r="U18" s="71"/>
      <c r="W18" s="70">
        <v>9008</v>
      </c>
      <c r="X18" s="81">
        <v>3012</v>
      </c>
      <c r="Y18" s="81">
        <v>379</v>
      </c>
      <c r="Z18" s="96"/>
      <c r="AA18" s="81">
        <v>379</v>
      </c>
      <c r="AC18" s="96">
        <f t="shared" si="0"/>
        <v>9.0909090909090912E-2</v>
      </c>
    </row>
    <row r="19" spans="3:140" s="55" customFormat="1" ht="13.9" customHeight="1">
      <c r="C19" s="69">
        <v>1075664031</v>
      </c>
      <c r="D19" s="70">
        <v>868</v>
      </c>
      <c r="E19" s="70">
        <v>8716</v>
      </c>
      <c r="F19" s="70" t="s">
        <v>101</v>
      </c>
      <c r="G19" s="70" t="s">
        <v>102</v>
      </c>
      <c r="H19" s="70" t="s">
        <v>86</v>
      </c>
      <c r="I19" s="70">
        <v>9001</v>
      </c>
      <c r="J19" s="71">
        <f>VLOOKUP(C19,'Base ejecuciones Oct-17 (2)'!A9:M504,2,0)</f>
        <v>92</v>
      </c>
      <c r="K19" s="71"/>
      <c r="L19" s="71">
        <f>VLOOKUP(C19,'Base ejecuciones Oct-17 (2)'!A10:M504,4,0)</f>
        <v>16</v>
      </c>
      <c r="M19" s="71"/>
      <c r="N19" s="71"/>
      <c r="O19" s="71"/>
      <c r="P19" s="71"/>
      <c r="Q19" s="71"/>
      <c r="R19" s="71"/>
      <c r="S19" s="71"/>
      <c r="T19" s="71"/>
      <c r="U19" s="71"/>
      <c r="W19" s="70">
        <v>9009</v>
      </c>
      <c r="X19" s="81">
        <v>2873</v>
      </c>
      <c r="Y19" s="81">
        <v>397</v>
      </c>
      <c r="Z19" s="96"/>
      <c r="AA19" s="81">
        <v>397</v>
      </c>
      <c r="AC19" s="96">
        <f t="shared" si="0"/>
        <v>9.5226673063084674E-2</v>
      </c>
    </row>
    <row r="20" spans="3:140" s="55" customFormat="1" ht="15.75">
      <c r="C20" s="69">
        <v>1088267234</v>
      </c>
      <c r="D20" s="70">
        <v>208</v>
      </c>
      <c r="E20" s="70">
        <v>37380</v>
      </c>
      <c r="F20" s="70" t="s">
        <v>103</v>
      </c>
      <c r="G20" s="70" t="s">
        <v>104</v>
      </c>
      <c r="H20" s="70" t="s">
        <v>86</v>
      </c>
      <c r="I20" s="70">
        <v>9005</v>
      </c>
      <c r="J20" s="71">
        <f>VLOOKUP(C20,'Base ejecuciones Oct-17 (2)'!A10:M505,2,0)</f>
        <v>69</v>
      </c>
      <c r="K20" s="71"/>
      <c r="L20" s="71">
        <f>VLOOKUP(C20,'Base ejecuciones Oct-17 (2)'!A11:M505,4,0)</f>
        <v>12</v>
      </c>
      <c r="M20" s="71"/>
      <c r="N20" s="71"/>
      <c r="O20" s="71"/>
      <c r="P20" s="71"/>
      <c r="Q20" s="71"/>
      <c r="R20" s="71"/>
      <c r="S20" s="71"/>
      <c r="T20" s="71"/>
      <c r="U20" s="71"/>
      <c r="W20" s="70" t="s">
        <v>742</v>
      </c>
      <c r="X20" s="81">
        <v>30225</v>
      </c>
      <c r="Y20" s="81">
        <v>4169</v>
      </c>
      <c r="Z20" s="96">
        <f>SUM(Z11:Z19)</f>
        <v>0</v>
      </c>
      <c r="AA20" s="95">
        <v>4169</v>
      </c>
      <c r="AC20" s="97">
        <f>SUM(AC11:AC19)</f>
        <v>1</v>
      </c>
    </row>
    <row r="21" spans="3:140" s="55" customFormat="1" ht="15.75">
      <c r="C21" s="69">
        <v>1030553203</v>
      </c>
      <c r="D21" s="70">
        <v>16</v>
      </c>
      <c r="E21" s="70">
        <v>37820</v>
      </c>
      <c r="F21" s="70" t="s">
        <v>105</v>
      </c>
      <c r="G21" s="70" t="s">
        <v>106</v>
      </c>
      <c r="H21" s="70" t="s">
        <v>86</v>
      </c>
      <c r="I21" s="70">
        <v>9003</v>
      </c>
      <c r="J21" s="71">
        <f>VLOOKUP(C21,'Base ejecuciones Oct-17 (2)'!A11:M506,2,0)</f>
        <v>41</v>
      </c>
      <c r="K21" s="71"/>
      <c r="L21" s="71">
        <f>VLOOKUP(C21,'Base ejecuciones Oct-17 (2)'!A12:M506,4,0)</f>
        <v>6</v>
      </c>
      <c r="M21" s="71"/>
      <c r="N21" s="71"/>
      <c r="O21" s="71"/>
      <c r="P21" s="71"/>
      <c r="Q21" s="71"/>
      <c r="R21" s="71"/>
      <c r="S21" s="71"/>
      <c r="T21" s="71"/>
      <c r="U21" s="71"/>
    </row>
    <row r="22" spans="3:140" s="55" customFormat="1" ht="15.75">
      <c r="C22" s="69">
        <v>1088288465</v>
      </c>
      <c r="D22" s="70">
        <v>201</v>
      </c>
      <c r="E22" s="70">
        <v>9520</v>
      </c>
      <c r="F22" s="70" t="s">
        <v>107</v>
      </c>
      <c r="G22" s="70" t="s">
        <v>108</v>
      </c>
      <c r="H22" s="70" t="s">
        <v>86</v>
      </c>
      <c r="I22" s="70">
        <v>9005</v>
      </c>
      <c r="J22" s="71">
        <f>VLOOKUP(C22,'Base ejecuciones Oct-17 (2)'!A12:M507,2,0)</f>
        <v>40</v>
      </c>
      <c r="K22" s="71"/>
      <c r="L22" s="71">
        <f>VLOOKUP(C22,'Base ejecuciones Oct-17 (2)'!A13:M507,4,0)</f>
        <v>16</v>
      </c>
      <c r="M22" s="71"/>
      <c r="N22" s="71"/>
      <c r="O22" s="71"/>
      <c r="P22" s="71"/>
      <c r="Q22" s="71"/>
      <c r="R22" s="71"/>
      <c r="S22" s="71"/>
      <c r="T22" s="71"/>
      <c r="U22" s="71"/>
    </row>
    <row r="23" spans="3:140" s="57" customFormat="1" ht="15.75">
      <c r="C23" s="69">
        <v>1012357343</v>
      </c>
      <c r="D23" s="70">
        <v>69</v>
      </c>
      <c r="E23" s="70">
        <v>9532</v>
      </c>
      <c r="F23" s="70" t="s">
        <v>95</v>
      </c>
      <c r="G23" s="70" t="s">
        <v>109</v>
      </c>
      <c r="H23" s="70" t="s">
        <v>86</v>
      </c>
      <c r="I23" s="70">
        <v>9004</v>
      </c>
      <c r="J23" s="71">
        <f>VLOOKUP(C23,'Base ejecuciones Oct-17 (2)'!A13:M508,2,0)</f>
        <v>90</v>
      </c>
      <c r="K23" s="71"/>
      <c r="L23" s="71">
        <f>VLOOKUP(C23,'Base ejecuciones Oct-17 (2)'!A14:M508,4,0)</f>
        <v>13</v>
      </c>
      <c r="M23" s="71"/>
      <c r="N23" s="71"/>
      <c r="O23" s="71"/>
      <c r="P23" s="71"/>
      <c r="Q23" s="71"/>
      <c r="R23" s="71"/>
      <c r="S23" s="71"/>
      <c r="T23" s="71"/>
      <c r="U23" s="71"/>
      <c r="W23" s="91" t="s">
        <v>751</v>
      </c>
      <c r="X23" t="s">
        <v>749</v>
      </c>
      <c r="Y23" t="s">
        <v>750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</row>
    <row r="24" spans="3:140" s="55" customFormat="1" ht="15.75">
      <c r="C24" s="69">
        <v>1090481863</v>
      </c>
      <c r="D24" s="70">
        <v>136</v>
      </c>
      <c r="E24" s="70">
        <v>37157</v>
      </c>
      <c r="F24" s="70" t="s">
        <v>110</v>
      </c>
      <c r="G24" s="70" t="s">
        <v>111</v>
      </c>
      <c r="H24" s="70" t="s">
        <v>86</v>
      </c>
      <c r="I24" s="70">
        <v>9008</v>
      </c>
      <c r="J24" s="71">
        <f>VLOOKUP(C24,'Base ejecuciones Oct-17 (2)'!A14:M509,2,0)</f>
        <v>69</v>
      </c>
      <c r="K24" s="71"/>
      <c r="L24" s="71">
        <f>VLOOKUP(C24,'Base ejecuciones Oct-17 (2)'!A15:M509,4,0)</f>
        <v>7</v>
      </c>
      <c r="M24" s="71"/>
      <c r="N24" s="71"/>
      <c r="O24" s="71"/>
      <c r="P24" s="71"/>
      <c r="Q24" s="71"/>
      <c r="R24" s="71"/>
      <c r="S24" s="71"/>
      <c r="T24" s="71"/>
      <c r="U24" s="71"/>
      <c r="W24" s="92">
        <v>9001</v>
      </c>
      <c r="X24" s="81">
        <v>4004</v>
      </c>
      <c r="Y24" s="81">
        <v>593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</row>
    <row r="25" spans="3:140" s="55" customFormat="1" ht="15.75">
      <c r="C25" s="69">
        <v>52911577</v>
      </c>
      <c r="D25" s="70">
        <v>22</v>
      </c>
      <c r="E25" s="70">
        <v>9437</v>
      </c>
      <c r="F25" s="70" t="s">
        <v>112</v>
      </c>
      <c r="G25" s="70" t="s">
        <v>113</v>
      </c>
      <c r="H25" s="70" t="s">
        <v>86</v>
      </c>
      <c r="I25" s="70">
        <v>9003</v>
      </c>
      <c r="J25" s="71">
        <f>VLOOKUP(C25,'Base ejecuciones Oct-17 (2)'!A15:M510,2,0)</f>
        <v>45</v>
      </c>
      <c r="K25" s="71"/>
      <c r="L25" s="71">
        <f>VLOOKUP(C25,'Base ejecuciones Oct-17 (2)'!A16:M510,4,0)</f>
        <v>13</v>
      </c>
      <c r="M25" s="71"/>
      <c r="N25" s="71"/>
      <c r="O25" s="71"/>
      <c r="P25" s="71"/>
      <c r="Q25" s="71"/>
      <c r="R25" s="71"/>
      <c r="S25" s="71"/>
      <c r="T25" s="71"/>
      <c r="U25" s="71"/>
      <c r="W25" s="92">
        <v>9002</v>
      </c>
      <c r="X25" s="81">
        <v>3135</v>
      </c>
      <c r="Y25" s="81">
        <v>437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</row>
    <row r="26" spans="3:140" s="55" customFormat="1" ht="13.9" customHeight="1">
      <c r="C26" s="69">
        <v>1016047173</v>
      </c>
      <c r="D26" s="70">
        <v>63</v>
      </c>
      <c r="E26" s="70">
        <v>38749</v>
      </c>
      <c r="F26" s="70" t="s">
        <v>114</v>
      </c>
      <c r="G26" s="70" t="s">
        <v>115</v>
      </c>
      <c r="H26" s="70" t="s">
        <v>116</v>
      </c>
      <c r="I26" s="70">
        <v>9004</v>
      </c>
      <c r="J26" s="71">
        <f>VLOOKUP(C26,'Base ejecuciones Oct-17 (2)'!A16:M511,2,0)</f>
        <v>55</v>
      </c>
      <c r="K26" s="71"/>
      <c r="L26" s="71">
        <f>VLOOKUP(C26,'Base ejecuciones Oct-17 (2)'!A17:M511,4,0)</f>
        <v>10</v>
      </c>
      <c r="M26" s="71"/>
      <c r="N26" s="71"/>
      <c r="O26" s="71"/>
      <c r="P26" s="71"/>
      <c r="Q26" s="71"/>
      <c r="R26" s="71"/>
      <c r="S26" s="71"/>
      <c r="T26" s="71"/>
      <c r="U26" s="71"/>
      <c r="W26" s="92">
        <v>9003</v>
      </c>
      <c r="X26" s="81">
        <v>3605</v>
      </c>
      <c r="Y26" s="81">
        <v>449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</row>
    <row r="27" spans="3:140" ht="13.9" customHeight="1">
      <c r="C27" s="69">
        <v>86061163</v>
      </c>
      <c r="D27" s="70">
        <v>94</v>
      </c>
      <c r="E27" s="70">
        <v>9928</v>
      </c>
      <c r="F27" s="70" t="s">
        <v>117</v>
      </c>
      <c r="G27" s="70" t="s">
        <v>118</v>
      </c>
      <c r="H27" s="70" t="s">
        <v>86</v>
      </c>
      <c r="I27" s="70">
        <v>9008</v>
      </c>
      <c r="J27" s="71">
        <f>VLOOKUP(C27,'Base ejecuciones Oct-17 (2)'!A17:M512,2,0)</f>
        <v>65</v>
      </c>
      <c r="K27" s="71"/>
      <c r="L27" s="71">
        <f>VLOOKUP(C27,'Base ejecuciones Oct-17 (2)'!A18:M512,4,0)</f>
        <v>4</v>
      </c>
      <c r="M27" s="71"/>
      <c r="N27" s="71"/>
      <c r="O27" s="71"/>
      <c r="P27" s="71"/>
      <c r="Q27" s="71"/>
      <c r="R27" s="71"/>
      <c r="S27" s="71"/>
      <c r="T27" s="71"/>
      <c r="U27" s="71"/>
      <c r="W27" s="92">
        <v>9004</v>
      </c>
      <c r="X27" s="81">
        <v>3773</v>
      </c>
      <c r="Y27" s="81">
        <v>506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</row>
    <row r="28" spans="3:140" ht="13.9" customHeight="1">
      <c r="C28" s="69">
        <v>1014177866</v>
      </c>
      <c r="D28" s="70">
        <v>13</v>
      </c>
      <c r="E28" s="70">
        <v>9600</v>
      </c>
      <c r="F28" s="70" t="s">
        <v>119</v>
      </c>
      <c r="G28" s="70" t="s">
        <v>120</v>
      </c>
      <c r="H28" s="70" t="s">
        <v>86</v>
      </c>
      <c r="I28" s="70">
        <v>9002</v>
      </c>
      <c r="J28" s="71">
        <f>VLOOKUP(C28,'Base ejecuciones Oct-17 (2)'!A18:M513,2,0)</f>
        <v>73</v>
      </c>
      <c r="K28" s="71"/>
      <c r="L28" s="71">
        <f>VLOOKUP(C28,'Base ejecuciones Oct-17 (2)'!A19:M513,4,0)</f>
        <v>9</v>
      </c>
      <c r="M28" s="71"/>
      <c r="N28" s="71"/>
      <c r="O28" s="71"/>
      <c r="P28" s="71"/>
      <c r="Q28" s="71"/>
      <c r="R28" s="71"/>
      <c r="S28" s="71"/>
      <c r="T28" s="71"/>
      <c r="U28" s="71"/>
      <c r="W28" s="92">
        <v>9005</v>
      </c>
      <c r="X28" s="81">
        <v>3253</v>
      </c>
      <c r="Y28" s="81">
        <v>511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</row>
    <row r="29" spans="3:140" ht="13.9" customHeight="1">
      <c r="C29" s="69">
        <v>1098784756</v>
      </c>
      <c r="D29" s="70">
        <v>131</v>
      </c>
      <c r="E29" s="70">
        <v>37160</v>
      </c>
      <c r="F29" s="70" t="s">
        <v>121</v>
      </c>
      <c r="G29" s="70" t="s">
        <v>122</v>
      </c>
      <c r="H29" s="70" t="s">
        <v>86</v>
      </c>
      <c r="I29" s="70">
        <v>9008</v>
      </c>
      <c r="J29" s="71">
        <f>VLOOKUP(C29,'Base ejecuciones Oct-17 (2)'!A19:M514,2,0)</f>
        <v>109</v>
      </c>
      <c r="K29" s="71"/>
      <c r="L29" s="71">
        <f>VLOOKUP(C29,'Base ejecuciones Oct-17 (2)'!A20:M514,4,0)</f>
        <v>11</v>
      </c>
      <c r="M29" s="71"/>
      <c r="N29" s="71"/>
      <c r="O29" s="71"/>
      <c r="P29" s="71"/>
      <c r="Q29" s="71"/>
      <c r="R29" s="71"/>
      <c r="S29" s="71"/>
      <c r="T29" s="71"/>
      <c r="U29" s="71"/>
      <c r="W29" s="92">
        <v>9006</v>
      </c>
      <c r="X29" s="81">
        <v>2869</v>
      </c>
      <c r="Y29" s="81">
        <v>400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</row>
    <row r="30" spans="3:140" ht="13.9" customHeight="1">
      <c r="C30" s="69">
        <v>78031890</v>
      </c>
      <c r="D30" s="70">
        <v>171</v>
      </c>
      <c r="E30" s="70">
        <v>36814</v>
      </c>
      <c r="F30" s="70" t="s">
        <v>123</v>
      </c>
      <c r="G30" s="70" t="s">
        <v>124</v>
      </c>
      <c r="H30" s="70" t="s">
        <v>86</v>
      </c>
      <c r="I30" s="70">
        <v>9007</v>
      </c>
      <c r="J30" s="71">
        <f>VLOOKUP(C30,'Base ejecuciones Oct-17 (2)'!A20:M515,2,0)</f>
        <v>60</v>
      </c>
      <c r="K30" s="71"/>
      <c r="L30" s="71">
        <f>VLOOKUP(C30,'Base ejecuciones Oct-17 (2)'!A21:M515,4,0)</f>
        <v>3</v>
      </c>
      <c r="M30" s="71"/>
      <c r="N30" s="71"/>
      <c r="O30" s="71"/>
      <c r="P30" s="71"/>
      <c r="Q30" s="71"/>
      <c r="R30" s="71"/>
      <c r="S30" s="71"/>
      <c r="T30" s="71"/>
      <c r="U30" s="71"/>
      <c r="W30" s="92">
        <v>9007</v>
      </c>
      <c r="X30" s="81">
        <v>3373</v>
      </c>
      <c r="Y30" s="81">
        <v>435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</row>
    <row r="31" spans="3:140" ht="13.9" customHeight="1">
      <c r="C31" s="69">
        <v>80169986</v>
      </c>
      <c r="D31" s="70">
        <v>468</v>
      </c>
      <c r="E31" s="70">
        <v>9457</v>
      </c>
      <c r="F31" s="70" t="s">
        <v>125</v>
      </c>
      <c r="G31" s="70" t="s">
        <v>126</v>
      </c>
      <c r="H31" s="70" t="s">
        <v>86</v>
      </c>
      <c r="I31" s="70">
        <v>9004</v>
      </c>
      <c r="J31" s="71">
        <f>VLOOKUP(C31,'Base ejecuciones Oct-17 (2)'!A21:M516,2,0)</f>
        <v>63</v>
      </c>
      <c r="K31" s="71"/>
      <c r="L31" s="71">
        <f>VLOOKUP(C31,'Base ejecuciones Oct-17 (2)'!A22:M516,4,0)</f>
        <v>13</v>
      </c>
      <c r="M31" s="71"/>
      <c r="N31" s="71"/>
      <c r="O31" s="71"/>
      <c r="P31" s="71"/>
      <c r="Q31" s="71"/>
      <c r="R31" s="71"/>
      <c r="S31" s="71"/>
      <c r="T31" s="71"/>
      <c r="U31" s="71"/>
      <c r="W31" s="92">
        <v>9008</v>
      </c>
      <c r="X31" s="81">
        <v>2741</v>
      </c>
      <c r="Y31" s="81">
        <v>401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</row>
    <row r="32" spans="3:140" ht="13.9" customHeight="1">
      <c r="C32" s="69">
        <v>1073383917</v>
      </c>
      <c r="D32" s="70">
        <v>792</v>
      </c>
      <c r="E32" s="70">
        <v>9910</v>
      </c>
      <c r="F32" s="70" t="s">
        <v>127</v>
      </c>
      <c r="G32" s="70" t="s">
        <v>128</v>
      </c>
      <c r="H32" s="70" t="s">
        <v>116</v>
      </c>
      <c r="I32" s="70">
        <v>9002</v>
      </c>
      <c r="J32" s="71">
        <f>VLOOKUP(C32,'Base ejecuciones Oct-17 (2)'!A22:M517,2,0)</f>
        <v>37</v>
      </c>
      <c r="K32" s="71"/>
      <c r="L32" s="71">
        <f>VLOOKUP(C32,'Base ejecuciones Oct-17 (2)'!A23:M517,4,0)</f>
        <v>3</v>
      </c>
      <c r="M32" s="71"/>
      <c r="N32" s="71"/>
      <c r="O32" s="71"/>
      <c r="P32" s="71"/>
      <c r="Q32" s="71"/>
      <c r="R32" s="71"/>
      <c r="S32" s="71"/>
      <c r="T32" s="71"/>
      <c r="U32" s="71"/>
      <c r="W32" s="92">
        <v>9009</v>
      </c>
      <c r="X32" s="81">
        <v>3293</v>
      </c>
      <c r="Y32" s="81">
        <v>394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</row>
    <row r="33" spans="3:140" ht="13.9" customHeight="1">
      <c r="C33" s="69">
        <v>1128391746</v>
      </c>
      <c r="D33" s="70">
        <v>171</v>
      </c>
      <c r="E33" s="70">
        <v>34500</v>
      </c>
      <c r="F33" s="70" t="s">
        <v>123</v>
      </c>
      <c r="G33" s="70" t="s">
        <v>129</v>
      </c>
      <c r="H33" s="70" t="s">
        <v>86</v>
      </c>
      <c r="I33" s="70">
        <v>9007</v>
      </c>
      <c r="J33" s="71">
        <f>VLOOKUP(C33,'Base ejecuciones Oct-17 (2)'!A23:M518,2,0)</f>
        <v>51</v>
      </c>
      <c r="K33" s="71"/>
      <c r="L33" s="71">
        <f>VLOOKUP(C33,'Base ejecuciones Oct-17 (2)'!A24:M518,4,0)</f>
        <v>4</v>
      </c>
      <c r="M33" s="71"/>
      <c r="N33" s="71"/>
      <c r="O33" s="71"/>
      <c r="P33" s="71"/>
      <c r="Q33" s="71"/>
      <c r="R33" s="71"/>
      <c r="S33" s="71"/>
      <c r="T33" s="71"/>
      <c r="U33" s="71"/>
      <c r="W33" s="92" t="s">
        <v>748</v>
      </c>
      <c r="X33" s="81">
        <v>796</v>
      </c>
      <c r="Y33" s="81">
        <v>123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</row>
    <row r="34" spans="3:140" ht="13.9" customHeight="1">
      <c r="C34" s="69">
        <v>1088284278</v>
      </c>
      <c r="D34" s="70">
        <v>204</v>
      </c>
      <c r="E34" s="70">
        <v>9118</v>
      </c>
      <c r="F34" s="70" t="s">
        <v>130</v>
      </c>
      <c r="G34" s="70" t="s">
        <v>131</v>
      </c>
      <c r="H34" s="70" t="s">
        <v>86</v>
      </c>
      <c r="I34" s="70">
        <v>9005</v>
      </c>
      <c r="J34" s="71">
        <f>VLOOKUP(C34,'Base ejecuciones Oct-17 (2)'!A24:M519,2,0)</f>
        <v>69</v>
      </c>
      <c r="K34" s="71"/>
      <c r="L34" s="71">
        <f>VLOOKUP(C34,'Base ejecuciones Oct-17 (2)'!A25:M519,4,0)</f>
        <v>12</v>
      </c>
      <c r="M34" s="71"/>
      <c r="N34" s="71"/>
      <c r="O34" s="71"/>
      <c r="P34" s="71"/>
      <c r="Q34" s="71"/>
      <c r="R34" s="71"/>
      <c r="S34" s="71"/>
      <c r="T34" s="71"/>
      <c r="U34" s="71"/>
      <c r="W34" s="92" t="s">
        <v>742</v>
      </c>
      <c r="X34" s="81">
        <v>30842</v>
      </c>
      <c r="Y34" s="81">
        <v>4249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</row>
    <row r="35" spans="3:140" ht="13.9" customHeight="1">
      <c r="C35" s="69">
        <v>42140064</v>
      </c>
      <c r="D35" s="70">
        <v>201</v>
      </c>
      <c r="E35" s="70">
        <v>8683</v>
      </c>
      <c r="F35" s="70" t="s">
        <v>107</v>
      </c>
      <c r="G35" s="70" t="s">
        <v>132</v>
      </c>
      <c r="H35" s="70" t="s">
        <v>86</v>
      </c>
      <c r="I35" s="70">
        <v>9005</v>
      </c>
      <c r="J35" s="71">
        <f>VLOOKUP(C35,'Base ejecuciones Oct-17 (2)'!A25:M520,2,0)</f>
        <v>79</v>
      </c>
      <c r="K35" s="71"/>
      <c r="L35" s="71">
        <f>VLOOKUP(C35,'Base ejecuciones Oct-17 (2)'!A26:M520,4,0)</f>
        <v>10</v>
      </c>
      <c r="M35" s="71"/>
      <c r="N35" s="71"/>
      <c r="O35" s="71"/>
      <c r="P35" s="71"/>
      <c r="Q35" s="71"/>
      <c r="R35" s="71"/>
      <c r="S35" s="71"/>
      <c r="T35" s="71"/>
      <c r="U35" s="71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</row>
    <row r="36" spans="3:140" ht="13.9" customHeight="1">
      <c r="C36" s="69">
        <v>1098657835</v>
      </c>
      <c r="D36" s="70">
        <v>278</v>
      </c>
      <c r="E36" s="70">
        <v>37878</v>
      </c>
      <c r="F36" s="70" t="s">
        <v>133</v>
      </c>
      <c r="G36" s="70" t="s">
        <v>134</v>
      </c>
      <c r="H36" s="70" t="s">
        <v>86</v>
      </c>
      <c r="I36" s="70">
        <v>9008</v>
      </c>
      <c r="J36" s="71">
        <f>VLOOKUP(C36,'Base ejecuciones Oct-17 (2)'!A26:M521,2,0)</f>
        <v>76</v>
      </c>
      <c r="K36" s="71"/>
      <c r="L36" s="71">
        <f>VLOOKUP(C36,'Base ejecuciones Oct-17 (2)'!A27:M521,4,0)</f>
        <v>11</v>
      </c>
      <c r="M36" s="71"/>
      <c r="N36" s="71"/>
      <c r="O36" s="71"/>
      <c r="P36" s="71"/>
      <c r="Q36" s="71"/>
      <c r="R36" s="71"/>
      <c r="S36" s="71"/>
      <c r="T36" s="71"/>
      <c r="U36" s="71"/>
      <c r="W36"/>
      <c r="X36"/>
      <c r="Y36"/>
    </row>
    <row r="37" spans="3:140" ht="13.9" customHeight="1">
      <c r="C37" s="69">
        <v>39758972</v>
      </c>
      <c r="D37" s="70">
        <v>33</v>
      </c>
      <c r="E37" s="70">
        <v>8063</v>
      </c>
      <c r="F37" s="70" t="s">
        <v>135</v>
      </c>
      <c r="G37" s="70" t="s">
        <v>136</v>
      </c>
      <c r="H37" s="70" t="s">
        <v>86</v>
      </c>
      <c r="I37" s="70">
        <v>9001</v>
      </c>
      <c r="J37" s="71">
        <f>VLOOKUP(C37,'Base ejecuciones Oct-17 (2)'!A27:M522,2,0)</f>
        <v>86</v>
      </c>
      <c r="K37" s="71"/>
      <c r="L37" s="71">
        <f>VLOOKUP(C37,'Base ejecuciones Oct-17 (2)'!A28:M522,4,0)</f>
        <v>8</v>
      </c>
      <c r="M37" s="71"/>
      <c r="N37" s="71"/>
      <c r="O37" s="71"/>
      <c r="P37" s="71"/>
      <c r="Q37" s="71"/>
      <c r="R37" s="71"/>
      <c r="S37" s="71"/>
      <c r="T37" s="71"/>
      <c r="U37" s="71"/>
      <c r="W37"/>
      <c r="X37"/>
      <c r="Y37"/>
    </row>
    <row r="38" spans="3:140" ht="13.9" customHeight="1">
      <c r="C38" s="69">
        <v>1093223462</v>
      </c>
      <c r="D38" s="70">
        <v>206</v>
      </c>
      <c r="E38" s="70">
        <v>36467</v>
      </c>
      <c r="F38" s="70" t="s">
        <v>137</v>
      </c>
      <c r="G38" s="70" t="s">
        <v>138</v>
      </c>
      <c r="H38" s="70" t="s">
        <v>86</v>
      </c>
      <c r="I38" s="70">
        <v>9005</v>
      </c>
      <c r="J38" s="71">
        <f>VLOOKUP(C38,'Base ejecuciones Oct-17 (2)'!A28:M523,2,0)</f>
        <v>84</v>
      </c>
      <c r="K38" s="71"/>
      <c r="L38" s="71">
        <f>VLOOKUP(C38,'Base ejecuciones Oct-17 (2)'!A29:M523,4,0)</f>
        <v>13</v>
      </c>
      <c r="M38" s="71"/>
      <c r="N38" s="71"/>
      <c r="O38" s="71"/>
      <c r="P38" s="71"/>
      <c r="Q38" s="71"/>
      <c r="R38" s="71"/>
      <c r="S38" s="71"/>
      <c r="T38" s="71"/>
      <c r="U38" s="71"/>
      <c r="W38"/>
      <c r="X38"/>
      <c r="Y38"/>
    </row>
    <row r="39" spans="3:140" ht="13.9" customHeight="1">
      <c r="C39" s="69">
        <v>1020756518</v>
      </c>
      <c r="D39" s="70">
        <v>23</v>
      </c>
      <c r="E39" s="70">
        <v>37597</v>
      </c>
      <c r="F39" s="70" t="s">
        <v>139</v>
      </c>
      <c r="G39" s="70" t="s">
        <v>140</v>
      </c>
      <c r="H39" s="70" t="s">
        <v>86</v>
      </c>
      <c r="I39" s="70">
        <v>9001</v>
      </c>
      <c r="J39" s="71">
        <f>VLOOKUP(C39,'Base ejecuciones Oct-17 (2)'!A29:M524,2,0)</f>
        <v>34</v>
      </c>
      <c r="K39" s="71"/>
      <c r="L39" s="71">
        <f>VLOOKUP(C39,'Base ejecuciones Oct-17 (2)'!A30:M524,4,0)</f>
        <v>10</v>
      </c>
      <c r="M39" s="71"/>
      <c r="N39" s="71"/>
      <c r="O39" s="71"/>
      <c r="P39" s="71"/>
      <c r="Q39" s="71"/>
      <c r="R39" s="71"/>
      <c r="S39" s="71"/>
      <c r="T39" s="71"/>
      <c r="U39" s="71"/>
      <c r="W39" s="91" t="s">
        <v>751</v>
      </c>
      <c r="X39" t="s">
        <v>755</v>
      </c>
      <c r="Y39" t="s">
        <v>752</v>
      </c>
      <c r="Z39" t="s">
        <v>753</v>
      </c>
      <c r="AA39" t="s">
        <v>754</v>
      </c>
    </row>
    <row r="40" spans="3:140" ht="15.75">
      <c r="C40" s="69">
        <v>1090416967</v>
      </c>
      <c r="D40" s="70">
        <v>135</v>
      </c>
      <c r="E40" s="70">
        <v>38358</v>
      </c>
      <c r="F40" s="70" t="s">
        <v>141</v>
      </c>
      <c r="G40" s="70" t="s">
        <v>142</v>
      </c>
      <c r="H40" s="70" t="s">
        <v>86</v>
      </c>
      <c r="I40" s="70">
        <v>9008</v>
      </c>
      <c r="J40" s="71">
        <f>VLOOKUP(C40,'Base ejecuciones Oct-17 (2)'!A30:M525,2,0)</f>
        <v>76</v>
      </c>
      <c r="K40" s="71"/>
      <c r="L40" s="71">
        <f>VLOOKUP(C40,'Base ejecuciones Oct-17 (2)'!A31:M525,4,0)</f>
        <v>13</v>
      </c>
      <c r="M40" s="71"/>
      <c r="N40" s="71"/>
      <c r="O40" s="71"/>
      <c r="P40" s="71"/>
      <c r="Q40" s="71"/>
      <c r="R40" s="71"/>
      <c r="S40" s="71"/>
      <c r="T40" s="71"/>
      <c r="U40" s="71"/>
      <c r="W40" s="92">
        <v>9001</v>
      </c>
      <c r="X40" s="93">
        <v>4364486905.2099991</v>
      </c>
      <c r="Y40" s="93">
        <v>1129036575.1500001</v>
      </c>
      <c r="Z40" s="93">
        <v>3867370133</v>
      </c>
      <c r="AA40" s="94">
        <v>32616000</v>
      </c>
    </row>
    <row r="41" spans="3:140" ht="15.75">
      <c r="C41" s="69">
        <v>1012346611</v>
      </c>
      <c r="D41" s="70">
        <v>73</v>
      </c>
      <c r="E41" s="70">
        <v>9508</v>
      </c>
      <c r="F41" s="70" t="s">
        <v>87</v>
      </c>
      <c r="G41" s="70" t="s">
        <v>143</v>
      </c>
      <c r="H41" s="70" t="s">
        <v>86</v>
      </c>
      <c r="I41" s="70">
        <v>9004</v>
      </c>
      <c r="J41" s="71">
        <f>VLOOKUP(C41,'Base ejecuciones Oct-17 (2)'!A31:M526,2,0)</f>
        <v>49</v>
      </c>
      <c r="K41" s="71"/>
      <c r="L41" s="71">
        <f>VLOOKUP(C41,'Base ejecuciones Oct-17 (2)'!A32:M526,4,0)</f>
        <v>12</v>
      </c>
      <c r="M41" s="71"/>
      <c r="N41" s="71"/>
      <c r="O41" s="71"/>
      <c r="P41" s="71"/>
      <c r="Q41" s="71"/>
      <c r="R41" s="71"/>
      <c r="S41" s="71"/>
      <c r="T41" s="71"/>
      <c r="U41" s="71"/>
      <c r="W41" s="92">
        <v>9002</v>
      </c>
      <c r="X41" s="93">
        <v>3511980464.8699999</v>
      </c>
      <c r="Y41" s="93">
        <v>775936378.56999993</v>
      </c>
      <c r="Z41" s="93">
        <v>2933387584</v>
      </c>
      <c r="AA41" s="94">
        <v>31592000</v>
      </c>
    </row>
    <row r="42" spans="3:140" ht="15.75">
      <c r="C42" s="69">
        <v>52458890</v>
      </c>
      <c r="D42" s="70">
        <v>196</v>
      </c>
      <c r="E42" s="70">
        <v>8630</v>
      </c>
      <c r="F42" s="70" t="s">
        <v>144</v>
      </c>
      <c r="G42" s="70" t="s">
        <v>145</v>
      </c>
      <c r="H42" s="70" t="s">
        <v>86</v>
      </c>
      <c r="I42" s="70">
        <v>9003</v>
      </c>
      <c r="J42" s="71">
        <f>VLOOKUP(C42,'Base ejecuciones Oct-17 (2)'!A32:M527,2,0)</f>
        <v>99</v>
      </c>
      <c r="K42" s="71"/>
      <c r="L42" s="71">
        <f>VLOOKUP(C42,'Base ejecuciones Oct-17 (2)'!A33:M527,4,0)</f>
        <v>13</v>
      </c>
      <c r="M42" s="71"/>
      <c r="N42" s="71"/>
      <c r="O42" s="71"/>
      <c r="P42" s="71"/>
      <c r="Q42" s="71"/>
      <c r="R42" s="71"/>
      <c r="S42" s="71"/>
      <c r="T42" s="71"/>
      <c r="U42" s="71"/>
      <c r="W42" s="92">
        <v>9003</v>
      </c>
      <c r="X42" s="93">
        <v>3346761906.4200001</v>
      </c>
      <c r="Y42" s="93">
        <v>768433436.54999995</v>
      </c>
      <c r="Z42" s="93">
        <v>3076258104</v>
      </c>
      <c r="AA42" s="94">
        <v>80000000</v>
      </c>
    </row>
    <row r="43" spans="3:140" ht="13.9" customHeight="1">
      <c r="C43" s="69">
        <v>73199300</v>
      </c>
      <c r="D43" s="70">
        <v>115</v>
      </c>
      <c r="E43" s="70">
        <v>9588</v>
      </c>
      <c r="F43" s="70" t="s">
        <v>146</v>
      </c>
      <c r="G43" s="70" t="s">
        <v>147</v>
      </c>
      <c r="H43" s="70" t="s">
        <v>86</v>
      </c>
      <c r="I43" s="70">
        <v>9009</v>
      </c>
      <c r="J43" s="71">
        <f>VLOOKUP(C43,'Base ejecuciones Oct-17 (2)'!A33:M528,2,0)</f>
        <v>76</v>
      </c>
      <c r="K43" s="71"/>
      <c r="L43" s="71">
        <f>VLOOKUP(C43,'Base ejecuciones Oct-17 (2)'!A34:M528,4,0)</f>
        <v>5</v>
      </c>
      <c r="M43" s="71"/>
      <c r="N43" s="71"/>
      <c r="O43" s="71"/>
      <c r="P43" s="71"/>
      <c r="Q43" s="71"/>
      <c r="R43" s="71"/>
      <c r="S43" s="71"/>
      <c r="T43" s="71"/>
      <c r="U43" s="71"/>
      <c r="W43" s="92">
        <v>9004</v>
      </c>
      <c r="X43" s="93">
        <v>4133715455.21</v>
      </c>
      <c r="Y43" s="93">
        <v>637232489.56999993</v>
      </c>
      <c r="Z43" s="93">
        <v>3379184439</v>
      </c>
      <c r="AA43" s="94">
        <v>67700000</v>
      </c>
    </row>
    <row r="44" spans="3:140" ht="13.9" customHeight="1">
      <c r="C44" s="69">
        <v>43996380</v>
      </c>
      <c r="D44" s="70">
        <v>276</v>
      </c>
      <c r="E44" s="70">
        <v>38620</v>
      </c>
      <c r="F44" s="70" t="s">
        <v>148</v>
      </c>
      <c r="G44" s="70" t="s">
        <v>149</v>
      </c>
      <c r="H44" s="70" t="s">
        <v>86</v>
      </c>
      <c r="I44" s="70">
        <v>9007</v>
      </c>
      <c r="J44" s="71">
        <f>VLOOKUP(C44,'Base ejecuciones Oct-17 (2)'!A34:M529,2,0)</f>
        <v>69</v>
      </c>
      <c r="K44" s="71"/>
      <c r="L44" s="71">
        <f>VLOOKUP(C44,'Base ejecuciones Oct-17 (2)'!A35:M529,4,0)</f>
        <v>13</v>
      </c>
      <c r="M44" s="71"/>
      <c r="N44" s="71"/>
      <c r="O44" s="71"/>
      <c r="P44" s="71"/>
      <c r="Q44" s="71"/>
      <c r="R44" s="71"/>
      <c r="S44" s="71"/>
      <c r="T44" s="71"/>
      <c r="U44" s="71"/>
      <c r="W44" s="92">
        <v>9005</v>
      </c>
      <c r="X44" s="93">
        <v>3975800743.8900003</v>
      </c>
      <c r="Y44" s="93">
        <v>608907099.4799999</v>
      </c>
      <c r="Z44" s="93">
        <v>3358546566</v>
      </c>
      <c r="AA44" s="94">
        <v>30000000</v>
      </c>
    </row>
    <row r="45" spans="3:140" ht="13.9" customHeight="1">
      <c r="C45" s="69">
        <v>40394022</v>
      </c>
      <c r="D45" s="70">
        <v>558</v>
      </c>
      <c r="E45" s="70">
        <v>8207</v>
      </c>
      <c r="F45" s="70" t="s">
        <v>150</v>
      </c>
      <c r="G45" s="70" t="s">
        <v>151</v>
      </c>
      <c r="H45" s="70" t="s">
        <v>86</v>
      </c>
      <c r="I45" s="70">
        <v>9008</v>
      </c>
      <c r="J45" s="71">
        <f>VLOOKUP(C45,'Base ejecuciones Oct-17 (2)'!A35:M530,2,0)</f>
        <v>56</v>
      </c>
      <c r="K45" s="71"/>
      <c r="L45" s="71">
        <f>VLOOKUP(C45,'Base ejecuciones Oct-17 (2)'!A36:M530,4,0)</f>
        <v>8</v>
      </c>
      <c r="M45" s="71"/>
      <c r="N45" s="71"/>
      <c r="O45" s="71"/>
      <c r="P45" s="71"/>
      <c r="Q45" s="71"/>
      <c r="R45" s="71"/>
      <c r="S45" s="71"/>
      <c r="T45" s="71"/>
      <c r="U45" s="71"/>
      <c r="W45" s="92">
        <v>9006</v>
      </c>
      <c r="X45" s="93">
        <v>3173224696.8000002</v>
      </c>
      <c r="Y45" s="93">
        <v>529592374.23000002</v>
      </c>
      <c r="Z45" s="93">
        <v>3120073619</v>
      </c>
      <c r="AA45" s="94">
        <v>113090000</v>
      </c>
    </row>
    <row r="46" spans="3:140" ht="13.9" customHeight="1">
      <c r="C46" s="69">
        <v>24552785</v>
      </c>
      <c r="D46" s="70">
        <v>206</v>
      </c>
      <c r="E46" s="70">
        <v>38220</v>
      </c>
      <c r="F46" s="70" t="s">
        <v>137</v>
      </c>
      <c r="G46" s="70" t="s">
        <v>152</v>
      </c>
      <c r="H46" s="70" t="s">
        <v>86</v>
      </c>
      <c r="I46" s="70">
        <v>9005</v>
      </c>
      <c r="J46" s="71">
        <f>VLOOKUP(C46,'Base ejecuciones Oct-17 (2)'!A36:M531,2,0)</f>
        <v>80</v>
      </c>
      <c r="K46" s="71"/>
      <c r="L46" s="71">
        <f>VLOOKUP(C46,'Base ejecuciones Oct-17 (2)'!A37:M531,4,0)</f>
        <v>4</v>
      </c>
      <c r="M46" s="71"/>
      <c r="N46" s="71"/>
      <c r="O46" s="71"/>
      <c r="P46" s="71"/>
      <c r="Q46" s="71"/>
      <c r="R46" s="71"/>
      <c r="S46" s="71"/>
      <c r="T46" s="71"/>
      <c r="U46" s="71"/>
      <c r="W46" s="92">
        <v>9007</v>
      </c>
      <c r="X46" s="93">
        <v>3438987670.25</v>
      </c>
      <c r="Y46" s="93">
        <v>819294712.56999981</v>
      </c>
      <c r="Z46" s="93">
        <v>2964333139</v>
      </c>
      <c r="AA46" s="94">
        <v>151591000</v>
      </c>
    </row>
    <row r="47" spans="3:140" ht="13.9" customHeight="1">
      <c r="C47" s="69">
        <v>1063146925</v>
      </c>
      <c r="D47" s="70">
        <v>6</v>
      </c>
      <c r="E47" s="70">
        <v>9610</v>
      </c>
      <c r="F47" s="70" t="s">
        <v>153</v>
      </c>
      <c r="G47" s="70" t="s">
        <v>154</v>
      </c>
      <c r="H47" s="70" t="s">
        <v>86</v>
      </c>
      <c r="I47" s="70">
        <v>9002</v>
      </c>
      <c r="J47" s="71">
        <f>VLOOKUP(C47,'Base ejecuciones Oct-17 (2)'!A37:M532,2,0)</f>
        <v>65</v>
      </c>
      <c r="K47" s="71"/>
      <c r="L47" s="71">
        <f>VLOOKUP(C47,'Base ejecuciones Oct-17 (2)'!A38:M532,4,0)</f>
        <v>12</v>
      </c>
      <c r="M47" s="71"/>
      <c r="N47" s="71"/>
      <c r="O47" s="71"/>
      <c r="P47" s="71"/>
      <c r="Q47" s="71"/>
      <c r="R47" s="71"/>
      <c r="S47" s="71"/>
      <c r="T47" s="71"/>
      <c r="U47" s="71"/>
      <c r="W47" s="92">
        <v>9008</v>
      </c>
      <c r="X47" s="93">
        <v>2660869279.9900002</v>
      </c>
      <c r="Y47" s="93">
        <v>841547031.35000002</v>
      </c>
      <c r="Z47" s="93">
        <v>2785262643</v>
      </c>
      <c r="AA47" s="94">
        <v>52800000</v>
      </c>
    </row>
    <row r="48" spans="3:140" ht="13.9" customHeight="1">
      <c r="C48" s="69">
        <v>1143835057</v>
      </c>
      <c r="D48" s="70">
        <v>141</v>
      </c>
      <c r="E48" s="70">
        <v>9534</v>
      </c>
      <c r="F48" s="70" t="s">
        <v>155</v>
      </c>
      <c r="G48" s="70" t="s">
        <v>156</v>
      </c>
      <c r="H48" s="70" t="s">
        <v>86</v>
      </c>
      <c r="I48" s="70">
        <v>9006</v>
      </c>
      <c r="J48" s="71">
        <f>VLOOKUP(C48,'Base ejecuciones Oct-17 (2)'!A38:M533,2,0)</f>
        <v>87</v>
      </c>
      <c r="K48" s="71"/>
      <c r="L48" s="71">
        <f>VLOOKUP(C48,'Base ejecuciones Oct-17 (2)'!A39:M533,4,0)</f>
        <v>12</v>
      </c>
      <c r="M48" s="71"/>
      <c r="N48" s="71"/>
      <c r="O48" s="71"/>
      <c r="P48" s="71"/>
      <c r="Q48" s="71"/>
      <c r="R48" s="71"/>
      <c r="S48" s="71"/>
      <c r="T48" s="71"/>
      <c r="U48" s="71"/>
      <c r="W48" s="92">
        <v>9009</v>
      </c>
      <c r="X48" s="93">
        <v>3058762042.3200002</v>
      </c>
      <c r="Y48" s="93">
        <v>615697224.36000001</v>
      </c>
      <c r="Z48" s="93">
        <v>2567580574</v>
      </c>
      <c r="AA48" s="94">
        <v>0</v>
      </c>
    </row>
    <row r="49" spans="3:27" ht="13.9" customHeight="1">
      <c r="C49" s="69">
        <v>1037599855</v>
      </c>
      <c r="D49" s="70">
        <v>952</v>
      </c>
      <c r="E49" s="70">
        <v>37969</v>
      </c>
      <c r="F49" s="70" t="s">
        <v>157</v>
      </c>
      <c r="G49" s="70" t="s">
        <v>158</v>
      </c>
      <c r="H49" s="70" t="s">
        <v>86</v>
      </c>
      <c r="I49" s="70">
        <v>9007</v>
      </c>
      <c r="J49" s="71">
        <f>VLOOKUP(C49,'Base ejecuciones Oct-17 (2)'!A39:M534,2,0)</f>
        <v>41</v>
      </c>
      <c r="K49" s="71"/>
      <c r="L49" s="71">
        <f>VLOOKUP(C49,'Base ejecuciones Oct-17 (2)'!A40:M534,4,0)</f>
        <v>1</v>
      </c>
      <c r="M49" s="71"/>
      <c r="N49" s="71"/>
      <c r="O49" s="71"/>
      <c r="P49" s="71"/>
      <c r="Q49" s="71"/>
      <c r="R49" s="71"/>
      <c r="S49" s="71"/>
      <c r="T49" s="71"/>
      <c r="U49" s="71"/>
      <c r="W49" s="92" t="s">
        <v>742</v>
      </c>
      <c r="X49" s="93">
        <v>31664589164.959999</v>
      </c>
      <c r="Y49" s="93">
        <v>6725677321.8299999</v>
      </c>
      <c r="Z49" s="93">
        <v>28051996801</v>
      </c>
      <c r="AA49" s="94">
        <v>559389000</v>
      </c>
    </row>
    <row r="50" spans="3:27" ht="13.9" customHeight="1">
      <c r="C50" s="69">
        <v>1121860724</v>
      </c>
      <c r="D50" s="70">
        <v>29</v>
      </c>
      <c r="E50" s="70">
        <v>38237</v>
      </c>
      <c r="F50" s="70" t="s">
        <v>159</v>
      </c>
      <c r="G50" s="70" t="s">
        <v>160</v>
      </c>
      <c r="H50" s="70" t="s">
        <v>86</v>
      </c>
      <c r="I50" s="70">
        <v>9001</v>
      </c>
      <c r="J50" s="71">
        <f>VLOOKUP(C50,'Base ejecuciones Oct-17 (2)'!A40:M535,2,0)</f>
        <v>37</v>
      </c>
      <c r="K50" s="71"/>
      <c r="L50" s="71">
        <f>VLOOKUP(C50,'Base ejecuciones Oct-17 (2)'!A41:M535,4,0)</f>
        <v>12</v>
      </c>
      <c r="M50" s="71"/>
      <c r="N50" s="71"/>
      <c r="O50" s="71"/>
      <c r="P50" s="71"/>
      <c r="Q50" s="71"/>
      <c r="R50" s="71"/>
      <c r="S50" s="71"/>
      <c r="T50" s="71"/>
      <c r="U50" s="71"/>
      <c r="W50"/>
      <c r="X50"/>
      <c r="Y50"/>
      <c r="Z50"/>
      <c r="AA50"/>
    </row>
    <row r="51" spans="3:27" ht="13.9" customHeight="1">
      <c r="C51" s="69">
        <v>1014186944</v>
      </c>
      <c r="D51" s="70">
        <v>629</v>
      </c>
      <c r="E51" s="70">
        <v>8997</v>
      </c>
      <c r="F51" s="70" t="s">
        <v>161</v>
      </c>
      <c r="G51" s="70" t="s">
        <v>162</v>
      </c>
      <c r="H51" s="70" t="s">
        <v>86</v>
      </c>
      <c r="I51" s="70">
        <v>9001</v>
      </c>
      <c r="J51" s="71">
        <f>VLOOKUP(C51,'Base ejecuciones Oct-17 (2)'!A41:M536,2,0)</f>
        <v>94</v>
      </c>
      <c r="K51" s="71"/>
      <c r="L51" s="71">
        <f>VLOOKUP(C51,'Base ejecuciones Oct-17 (2)'!A42:M536,4,0)</f>
        <v>3</v>
      </c>
      <c r="M51" s="71"/>
      <c r="N51" s="71"/>
      <c r="O51" s="71"/>
      <c r="P51" s="71"/>
      <c r="Q51" s="71"/>
      <c r="R51" s="71"/>
      <c r="S51" s="71"/>
      <c r="T51" s="71"/>
      <c r="U51" s="71"/>
      <c r="W51"/>
    </row>
    <row r="52" spans="3:27" ht="13.9" customHeight="1">
      <c r="C52" s="69">
        <v>1022390564</v>
      </c>
      <c r="D52" s="70">
        <v>3</v>
      </c>
      <c r="E52" s="70">
        <v>32077</v>
      </c>
      <c r="F52" s="70" t="s">
        <v>163</v>
      </c>
      <c r="G52" s="70" t="s">
        <v>164</v>
      </c>
      <c r="H52" s="70" t="s">
        <v>86</v>
      </c>
      <c r="I52" s="70">
        <v>9003</v>
      </c>
      <c r="J52" s="71">
        <f>VLOOKUP(C52,'Base ejecuciones Oct-17 (2)'!A42:M537,2,0)</f>
        <v>37</v>
      </c>
      <c r="K52" s="71"/>
      <c r="L52" s="71">
        <f>VLOOKUP(C52,'Base ejecuciones Oct-17 (2)'!A43:M537,4,0)</f>
        <v>12</v>
      </c>
      <c r="M52" s="71"/>
      <c r="N52" s="71"/>
      <c r="O52" s="71"/>
      <c r="P52" s="71"/>
      <c r="Q52" s="71"/>
      <c r="R52" s="71"/>
      <c r="S52" s="71"/>
      <c r="T52" s="71"/>
      <c r="U52" s="71"/>
      <c r="W52"/>
    </row>
    <row r="53" spans="3:27" ht="13.9" customHeight="1">
      <c r="C53" s="69">
        <v>53013251</v>
      </c>
      <c r="D53" s="70">
        <v>11</v>
      </c>
      <c r="E53" s="70">
        <v>9350</v>
      </c>
      <c r="F53" s="70" t="s">
        <v>165</v>
      </c>
      <c r="G53" s="70" t="s">
        <v>166</v>
      </c>
      <c r="H53" s="70" t="s">
        <v>86</v>
      </c>
      <c r="I53" s="70">
        <v>9002</v>
      </c>
      <c r="J53" s="71">
        <f>VLOOKUP(C53,'Base ejecuciones Oct-17 (2)'!A43:M538,2,0)</f>
        <v>57</v>
      </c>
      <c r="K53" s="71"/>
      <c r="L53" s="71">
        <f>VLOOKUP(C53,'Base ejecuciones Oct-17 (2)'!A44:M538,4,0)</f>
        <v>8</v>
      </c>
      <c r="M53" s="71"/>
      <c r="N53" s="71"/>
      <c r="O53" s="71"/>
      <c r="P53" s="71"/>
      <c r="Q53" s="71"/>
      <c r="R53" s="71"/>
      <c r="S53" s="71"/>
      <c r="T53" s="71"/>
      <c r="U53" s="71"/>
      <c r="W53"/>
    </row>
    <row r="54" spans="3:27" ht="13.9" customHeight="1">
      <c r="C54" s="69">
        <v>53071321</v>
      </c>
      <c r="D54" s="70">
        <v>197</v>
      </c>
      <c r="E54" s="70">
        <v>9786</v>
      </c>
      <c r="F54" s="70" t="s">
        <v>167</v>
      </c>
      <c r="G54" s="70" t="s">
        <v>168</v>
      </c>
      <c r="H54" s="70" t="s">
        <v>86</v>
      </c>
      <c r="I54" s="70">
        <v>9001</v>
      </c>
      <c r="J54" s="71">
        <f>VLOOKUP(C54,'Base ejecuciones Oct-17 (2)'!A44:M539,2,0)</f>
        <v>78</v>
      </c>
      <c r="K54" s="71"/>
      <c r="L54" s="71">
        <f>VLOOKUP(C54,'Base ejecuciones Oct-17 (2)'!A45:M539,4,0)</f>
        <v>15</v>
      </c>
      <c r="M54" s="71"/>
      <c r="N54" s="71"/>
      <c r="O54" s="71"/>
      <c r="P54" s="71"/>
      <c r="Q54" s="71"/>
      <c r="R54" s="71"/>
      <c r="S54" s="71"/>
      <c r="T54" s="71"/>
      <c r="U54" s="71"/>
      <c r="W54"/>
    </row>
    <row r="55" spans="3:27" ht="15.75">
      <c r="C55" s="69">
        <v>1007438660</v>
      </c>
      <c r="D55" s="70">
        <v>43</v>
      </c>
      <c r="E55" s="70">
        <v>36412</v>
      </c>
      <c r="F55" s="70" t="s">
        <v>169</v>
      </c>
      <c r="G55" s="70" t="s">
        <v>170</v>
      </c>
      <c r="H55" s="70" t="s">
        <v>86</v>
      </c>
      <c r="I55" s="70">
        <v>9002</v>
      </c>
      <c r="J55" s="71">
        <f>VLOOKUP(C55,'Base ejecuciones Oct-17 (2)'!A45:M540,2,0)</f>
        <v>60</v>
      </c>
      <c r="K55" s="71"/>
      <c r="L55" s="71">
        <f>VLOOKUP(C55,'Base ejecuciones Oct-17 (2)'!A46:M540,4,0)</f>
        <v>10</v>
      </c>
      <c r="M55" s="71"/>
      <c r="N55" s="71"/>
      <c r="O55" s="71"/>
      <c r="P55" s="71"/>
      <c r="Q55" s="71"/>
      <c r="R55" s="71"/>
      <c r="S55" s="71"/>
      <c r="T55" s="71"/>
      <c r="U55" s="71"/>
      <c r="W55"/>
    </row>
    <row r="56" spans="3:27" ht="15.75">
      <c r="C56" s="69">
        <v>22790319</v>
      </c>
      <c r="D56" s="70">
        <v>914</v>
      </c>
      <c r="E56" s="70">
        <v>8356</v>
      </c>
      <c r="F56" s="70" t="s">
        <v>171</v>
      </c>
      <c r="G56" s="70" t="s">
        <v>172</v>
      </c>
      <c r="H56" s="70" t="s">
        <v>86</v>
      </c>
      <c r="I56" s="70">
        <v>9007</v>
      </c>
      <c r="J56" s="71">
        <f>VLOOKUP(C56,'Base ejecuciones Oct-17 (2)'!A46:M541,2,0)</f>
        <v>51</v>
      </c>
      <c r="K56" s="71"/>
      <c r="L56" s="71">
        <f>VLOOKUP(C56,'Base ejecuciones Oct-17 (2)'!A47:M541,4,0)</f>
        <v>7</v>
      </c>
      <c r="M56" s="71"/>
      <c r="N56" s="71"/>
      <c r="O56" s="71"/>
      <c r="P56" s="71"/>
      <c r="Q56" s="71"/>
      <c r="R56" s="71"/>
      <c r="S56" s="71"/>
      <c r="T56" s="71"/>
      <c r="U56" s="71"/>
      <c r="W56"/>
    </row>
    <row r="57" spans="3:27" ht="15.75">
      <c r="C57" s="69">
        <v>1037602972</v>
      </c>
      <c r="D57" s="70">
        <v>692</v>
      </c>
      <c r="E57" s="70">
        <v>37897</v>
      </c>
      <c r="F57" s="70" t="s">
        <v>173</v>
      </c>
      <c r="G57" s="70" t="s">
        <v>174</v>
      </c>
      <c r="H57" s="70" t="s">
        <v>86</v>
      </c>
      <c r="I57" s="70">
        <v>9007</v>
      </c>
      <c r="J57" s="71">
        <f>VLOOKUP(C57,'Base ejecuciones Oct-17 (2)'!A47:M542,2,0)</f>
        <v>29</v>
      </c>
      <c r="K57" s="71"/>
      <c r="L57" s="71">
        <f>VLOOKUP(C57,'Base ejecuciones Oct-17 (2)'!A48:M542,4,0)</f>
        <v>12</v>
      </c>
      <c r="M57" s="71"/>
      <c r="N57" s="71"/>
      <c r="O57" s="71"/>
      <c r="P57" s="71"/>
      <c r="Q57" s="71"/>
      <c r="R57" s="71"/>
      <c r="S57" s="71"/>
      <c r="T57" s="71"/>
      <c r="U57" s="71"/>
      <c r="W57"/>
    </row>
    <row r="58" spans="3:27" ht="15.75">
      <c r="C58" s="69">
        <v>53001497</v>
      </c>
      <c r="D58" s="70">
        <v>509</v>
      </c>
      <c r="E58" s="70">
        <v>9198</v>
      </c>
      <c r="F58" s="70" t="s">
        <v>175</v>
      </c>
      <c r="G58" s="70" t="s">
        <v>176</v>
      </c>
      <c r="H58" s="70" t="s">
        <v>86</v>
      </c>
      <c r="I58" s="70">
        <v>9001</v>
      </c>
      <c r="J58" s="71">
        <f>VLOOKUP(C58,'Base ejecuciones Oct-17 (2)'!A48:M543,2,0)</f>
        <v>34</v>
      </c>
      <c r="K58" s="71"/>
      <c r="L58" s="71">
        <f>VLOOKUP(C58,'Base ejecuciones Oct-17 (2)'!A49:M543,4,0)</f>
        <v>12</v>
      </c>
      <c r="M58" s="71"/>
      <c r="N58" s="71"/>
      <c r="O58" s="71"/>
      <c r="P58" s="71"/>
      <c r="Q58" s="71"/>
      <c r="R58" s="71"/>
      <c r="S58" s="71"/>
      <c r="T58" s="71"/>
      <c r="U58" s="71"/>
      <c r="W58"/>
    </row>
    <row r="59" spans="3:27" ht="15.75">
      <c r="C59" s="69">
        <v>1095942918</v>
      </c>
      <c r="D59" s="70">
        <v>130</v>
      </c>
      <c r="E59" s="70">
        <v>36529</v>
      </c>
      <c r="F59" s="70" t="s">
        <v>177</v>
      </c>
      <c r="G59" s="70" t="s">
        <v>178</v>
      </c>
      <c r="H59" s="70" t="s">
        <v>86</v>
      </c>
      <c r="I59" s="70">
        <v>9008</v>
      </c>
      <c r="J59" s="71">
        <f>VLOOKUP(C59,'Base ejecuciones Oct-17 (2)'!A49:M544,2,0)</f>
        <v>100</v>
      </c>
      <c r="K59" s="71"/>
      <c r="L59" s="71">
        <f>VLOOKUP(C59,'Base ejecuciones Oct-17 (2)'!A50:M544,4,0)</f>
        <v>9</v>
      </c>
      <c r="M59" s="71"/>
      <c r="N59" s="71"/>
      <c r="O59" s="71"/>
      <c r="P59" s="71"/>
      <c r="Q59" s="71"/>
      <c r="R59" s="71"/>
      <c r="S59" s="71"/>
      <c r="T59" s="71"/>
      <c r="U59" s="71"/>
      <c r="W59"/>
    </row>
    <row r="60" spans="3:27" ht="15.75">
      <c r="C60" s="69">
        <v>1032445027</v>
      </c>
      <c r="D60" s="70">
        <v>6</v>
      </c>
      <c r="E60" s="70">
        <v>8747</v>
      </c>
      <c r="F60" s="70" t="s">
        <v>153</v>
      </c>
      <c r="G60" s="70" t="s">
        <v>179</v>
      </c>
      <c r="H60" s="70" t="s">
        <v>86</v>
      </c>
      <c r="I60" s="70">
        <v>9002</v>
      </c>
      <c r="J60" s="71">
        <f>VLOOKUP(C60,'Base ejecuciones Oct-17 (2)'!A50:M545,2,0)</f>
        <v>74</v>
      </c>
      <c r="K60" s="71"/>
      <c r="L60" s="71">
        <f>VLOOKUP(C60,'Base ejecuciones Oct-17 (2)'!A51:M545,4,0)</f>
        <v>12</v>
      </c>
      <c r="M60" s="71"/>
      <c r="N60" s="71"/>
      <c r="O60" s="71"/>
      <c r="P60" s="71"/>
      <c r="Q60" s="71"/>
      <c r="R60" s="71"/>
      <c r="S60" s="71"/>
      <c r="T60" s="71"/>
      <c r="U60" s="71"/>
      <c r="W60"/>
    </row>
    <row r="61" spans="3:27" ht="15.75">
      <c r="C61" s="69">
        <v>1143122100</v>
      </c>
      <c r="D61" s="70">
        <v>101</v>
      </c>
      <c r="E61" s="70">
        <v>9960</v>
      </c>
      <c r="F61" s="70" t="s">
        <v>180</v>
      </c>
      <c r="G61" s="70" t="s">
        <v>181</v>
      </c>
      <c r="H61" s="70" t="s">
        <v>86</v>
      </c>
      <c r="I61" s="70">
        <v>9009</v>
      </c>
      <c r="J61" s="71">
        <f>VLOOKUP(C61,'Base ejecuciones Oct-17 (2)'!A51:M546,2,0)</f>
        <v>42</v>
      </c>
      <c r="K61" s="71"/>
      <c r="L61" s="71">
        <f>VLOOKUP(C61,'Base ejecuciones Oct-17 (2)'!A52:M546,4,0)</f>
        <v>15</v>
      </c>
      <c r="M61" s="71"/>
      <c r="N61" s="71"/>
      <c r="O61" s="71"/>
      <c r="P61" s="71"/>
      <c r="Q61" s="71"/>
      <c r="R61" s="71"/>
      <c r="S61" s="71"/>
      <c r="T61" s="71"/>
      <c r="U61" s="71"/>
      <c r="W61"/>
    </row>
    <row r="62" spans="3:27" ht="15.75">
      <c r="C62" s="69">
        <v>1022976107</v>
      </c>
      <c r="D62" s="70">
        <v>4</v>
      </c>
      <c r="E62" s="70">
        <v>9917</v>
      </c>
      <c r="F62" s="70" t="s">
        <v>182</v>
      </c>
      <c r="G62" s="70" t="s">
        <v>183</v>
      </c>
      <c r="H62" s="70" t="s">
        <v>86</v>
      </c>
      <c r="I62" s="70">
        <v>9002</v>
      </c>
      <c r="J62" s="71">
        <f>VLOOKUP(C62,'Base ejecuciones Oct-17 (2)'!A52:M547,2,0)</f>
        <v>41</v>
      </c>
      <c r="K62" s="71"/>
      <c r="L62" s="71">
        <f>VLOOKUP(C62,'Base ejecuciones Oct-17 (2)'!A53:M547,4,0)</f>
        <v>6</v>
      </c>
      <c r="M62" s="71"/>
      <c r="N62" s="71"/>
      <c r="O62" s="71"/>
      <c r="P62" s="71"/>
      <c r="Q62" s="71"/>
      <c r="R62" s="71"/>
      <c r="S62" s="71"/>
      <c r="T62" s="71"/>
      <c r="U62" s="71"/>
      <c r="W62"/>
    </row>
    <row r="63" spans="3:27" ht="15.75">
      <c r="C63" s="69">
        <v>1036610700</v>
      </c>
      <c r="D63" s="70">
        <v>928</v>
      </c>
      <c r="E63" s="70">
        <v>36640</v>
      </c>
      <c r="F63" s="70" t="s">
        <v>184</v>
      </c>
      <c r="G63" s="70" t="s">
        <v>185</v>
      </c>
      <c r="H63" s="70" t="s">
        <v>86</v>
      </c>
      <c r="I63" s="70">
        <v>9007</v>
      </c>
      <c r="J63" s="71">
        <f>VLOOKUP(C63,'Base ejecuciones Oct-17 (2)'!A53:M548,2,0)</f>
        <v>78</v>
      </c>
      <c r="K63" s="71"/>
      <c r="L63" s="71">
        <f>VLOOKUP(C63,'Base ejecuciones Oct-17 (2)'!A54:M548,4,0)</f>
        <v>7</v>
      </c>
      <c r="M63" s="71"/>
      <c r="N63" s="71"/>
      <c r="O63" s="71"/>
      <c r="P63" s="71"/>
      <c r="Q63" s="71"/>
      <c r="R63" s="71"/>
      <c r="S63" s="71"/>
      <c r="T63" s="71"/>
      <c r="U63" s="71"/>
      <c r="W63"/>
    </row>
    <row r="64" spans="3:27" ht="15.75">
      <c r="C64" s="69">
        <v>40411747</v>
      </c>
      <c r="D64" s="70">
        <v>558</v>
      </c>
      <c r="E64" s="70">
        <v>8835</v>
      </c>
      <c r="F64" s="70" t="s">
        <v>150</v>
      </c>
      <c r="G64" s="70" t="s">
        <v>186</v>
      </c>
      <c r="H64" s="70" t="s">
        <v>86</v>
      </c>
      <c r="I64" s="70">
        <v>9008</v>
      </c>
      <c r="J64" s="71">
        <f>VLOOKUP(C64,'Base ejecuciones Oct-17 (2)'!A54:M549,2,0)</f>
        <v>56</v>
      </c>
      <c r="K64" s="71"/>
      <c r="L64" s="71">
        <f>VLOOKUP(C64,'Base ejecuciones Oct-17 (2)'!A55:M549,4,0)</f>
        <v>6</v>
      </c>
      <c r="M64" s="71"/>
      <c r="N64" s="71"/>
      <c r="O64" s="71"/>
      <c r="P64" s="71"/>
      <c r="Q64" s="71"/>
      <c r="R64" s="71"/>
      <c r="S64" s="71"/>
      <c r="T64" s="71"/>
      <c r="U64" s="71"/>
      <c r="W64"/>
    </row>
    <row r="65" spans="3:23" ht="15.75">
      <c r="C65" s="69">
        <v>1112762663</v>
      </c>
      <c r="D65" s="70">
        <v>885</v>
      </c>
      <c r="E65" s="70">
        <v>9419</v>
      </c>
      <c r="F65" s="70" t="s">
        <v>187</v>
      </c>
      <c r="G65" s="70" t="s">
        <v>188</v>
      </c>
      <c r="H65" s="70" t="s">
        <v>86</v>
      </c>
      <c r="I65" s="70">
        <v>9005</v>
      </c>
      <c r="J65" s="71">
        <f>VLOOKUP(C65,'Base ejecuciones Oct-17 (2)'!A55:M550,2,0)</f>
        <v>25</v>
      </c>
      <c r="K65" s="71"/>
      <c r="L65" s="71">
        <f>VLOOKUP(C65,'Base ejecuciones Oct-17 (2)'!A56:M550,4,0)</f>
        <v>5</v>
      </c>
      <c r="M65" s="71"/>
      <c r="N65" s="71"/>
      <c r="O65" s="71"/>
      <c r="P65" s="71"/>
      <c r="Q65" s="71"/>
      <c r="R65" s="71"/>
      <c r="S65" s="71"/>
      <c r="T65" s="71"/>
      <c r="U65" s="71"/>
      <c r="W65"/>
    </row>
    <row r="66" spans="3:23" ht="15.75">
      <c r="C66" s="69">
        <v>1018494555</v>
      </c>
      <c r="D66" s="70">
        <v>3</v>
      </c>
      <c r="E66" s="70">
        <v>36402</v>
      </c>
      <c r="F66" s="70" t="s">
        <v>163</v>
      </c>
      <c r="G66" s="70" t="s">
        <v>189</v>
      </c>
      <c r="H66" s="70" t="s">
        <v>86</v>
      </c>
      <c r="I66" s="70">
        <v>9003</v>
      </c>
      <c r="J66" s="71">
        <f>VLOOKUP(C66,'Base ejecuciones Oct-17 (2)'!A56:M551,2,0)</f>
        <v>45</v>
      </c>
      <c r="K66" s="71"/>
      <c r="L66" s="71">
        <f>VLOOKUP(C66,'Base ejecuciones Oct-17 (2)'!A57:M551,4,0)</f>
        <v>12</v>
      </c>
      <c r="M66" s="71"/>
      <c r="N66" s="71"/>
      <c r="O66" s="71"/>
      <c r="P66" s="71"/>
      <c r="Q66" s="71"/>
      <c r="R66" s="71"/>
      <c r="S66" s="71"/>
      <c r="T66" s="71"/>
      <c r="U66" s="71"/>
      <c r="W66"/>
    </row>
    <row r="67" spans="3:23" ht="15.75">
      <c r="C67" s="69">
        <v>1090377515</v>
      </c>
      <c r="D67" s="70">
        <v>135</v>
      </c>
      <c r="E67" s="70">
        <v>16267</v>
      </c>
      <c r="F67" s="70" t="s">
        <v>141</v>
      </c>
      <c r="G67" s="70" t="s">
        <v>190</v>
      </c>
      <c r="H67" s="70" t="s">
        <v>86</v>
      </c>
      <c r="I67" s="70">
        <v>9008</v>
      </c>
      <c r="J67" s="71">
        <f>VLOOKUP(C67,'Base ejecuciones Oct-17 (2)'!A57:M552,2,0)</f>
        <v>43</v>
      </c>
      <c r="K67" s="71"/>
      <c r="L67" s="71">
        <f>VLOOKUP(C67,'Base ejecuciones Oct-17 (2)'!A58:M552,4,0)</f>
        <v>5</v>
      </c>
      <c r="M67" s="71"/>
      <c r="N67" s="71"/>
      <c r="O67" s="71"/>
      <c r="P67" s="71"/>
      <c r="Q67" s="71"/>
      <c r="R67" s="71"/>
      <c r="S67" s="71"/>
      <c r="T67" s="71"/>
      <c r="U67" s="71"/>
      <c r="W67"/>
    </row>
    <row r="68" spans="3:23" ht="15.75">
      <c r="C68" s="69">
        <v>1097406024</v>
      </c>
      <c r="D68" s="70">
        <v>228</v>
      </c>
      <c r="E68" s="70">
        <v>37357</v>
      </c>
      <c r="F68" s="70" t="s">
        <v>89</v>
      </c>
      <c r="G68" s="70" t="s">
        <v>191</v>
      </c>
      <c r="H68" s="70" t="s">
        <v>86</v>
      </c>
      <c r="I68" s="70">
        <v>9005</v>
      </c>
      <c r="J68" s="71">
        <f>VLOOKUP(C68,'Base ejecuciones Oct-17 (2)'!A58:M553,2,0)</f>
        <v>78</v>
      </c>
      <c r="K68" s="71"/>
      <c r="L68" s="71">
        <f>VLOOKUP(C68,'Base ejecuciones Oct-17 (2)'!A59:M553,4,0)</f>
        <v>12</v>
      </c>
      <c r="M68" s="71"/>
      <c r="N68" s="71"/>
      <c r="O68" s="71"/>
      <c r="P68" s="71"/>
      <c r="Q68" s="71"/>
      <c r="R68" s="71"/>
      <c r="S68" s="71"/>
      <c r="T68" s="71"/>
      <c r="U68" s="71"/>
      <c r="W68"/>
    </row>
    <row r="69" spans="3:23" ht="15.75">
      <c r="C69" s="69">
        <v>1026259310</v>
      </c>
      <c r="D69" s="70">
        <v>65</v>
      </c>
      <c r="E69" s="70">
        <v>31592</v>
      </c>
      <c r="F69" s="70" t="s">
        <v>192</v>
      </c>
      <c r="G69" s="70" t="s">
        <v>193</v>
      </c>
      <c r="H69" s="70" t="s">
        <v>86</v>
      </c>
      <c r="I69" s="70">
        <v>9004</v>
      </c>
      <c r="J69" s="71">
        <f>VLOOKUP(C69,'Base ejecuciones Oct-17 (2)'!A59:M554,2,0)</f>
        <v>61</v>
      </c>
      <c r="K69" s="71"/>
      <c r="L69" s="71">
        <f>VLOOKUP(C69,'Base ejecuciones Oct-17 (2)'!A60:M554,4,0)</f>
        <v>3</v>
      </c>
      <c r="M69" s="71"/>
      <c r="N69" s="71"/>
      <c r="O69" s="71"/>
      <c r="P69" s="71"/>
      <c r="Q69" s="71"/>
      <c r="R69" s="71"/>
      <c r="S69" s="71"/>
      <c r="T69" s="71"/>
      <c r="U69" s="71"/>
      <c r="W69"/>
    </row>
    <row r="70" spans="3:23" ht="15.75">
      <c r="C70" s="69">
        <v>1045701669</v>
      </c>
      <c r="D70" s="70">
        <v>913</v>
      </c>
      <c r="E70" s="70">
        <v>8281</v>
      </c>
      <c r="F70" s="70" t="s">
        <v>194</v>
      </c>
      <c r="G70" s="70" t="s">
        <v>195</v>
      </c>
      <c r="H70" s="70" t="s">
        <v>86</v>
      </c>
      <c r="I70" s="70">
        <v>9009</v>
      </c>
      <c r="J70" s="71">
        <f>VLOOKUP(C70,'Base ejecuciones Oct-17 (2)'!A60:M555,2,0)</f>
        <v>53</v>
      </c>
      <c r="K70" s="71"/>
      <c r="L70" s="71">
        <f>VLOOKUP(C70,'Base ejecuciones Oct-17 (2)'!A61:M555,4,0)</f>
        <v>9</v>
      </c>
      <c r="M70" s="71"/>
      <c r="N70" s="71"/>
      <c r="O70" s="71"/>
      <c r="P70" s="71"/>
      <c r="Q70" s="71"/>
      <c r="R70" s="71"/>
      <c r="S70" s="71"/>
      <c r="T70" s="71"/>
      <c r="U70" s="71"/>
      <c r="W70"/>
    </row>
    <row r="71" spans="3:23" ht="15.75">
      <c r="C71" s="69">
        <v>80014264</v>
      </c>
      <c r="D71" s="70">
        <v>12</v>
      </c>
      <c r="E71" s="70">
        <v>10514</v>
      </c>
      <c r="F71" s="70" t="s">
        <v>84</v>
      </c>
      <c r="G71" s="70" t="s">
        <v>196</v>
      </c>
      <c r="H71" s="70" t="s">
        <v>86</v>
      </c>
      <c r="I71" s="70">
        <v>9002</v>
      </c>
      <c r="J71" s="71">
        <f>VLOOKUP(C71,'Base ejecuciones Oct-17 (2)'!A61:M556,2,0)</f>
        <v>64</v>
      </c>
      <c r="K71" s="71"/>
      <c r="L71" s="71">
        <f>VLOOKUP(C71,'Base ejecuciones Oct-17 (2)'!A62:M556,4,0)</f>
        <v>9</v>
      </c>
      <c r="M71" s="71"/>
      <c r="N71" s="71"/>
      <c r="O71" s="71"/>
      <c r="P71" s="71"/>
      <c r="Q71" s="71"/>
      <c r="R71" s="71"/>
      <c r="S71" s="71"/>
      <c r="T71" s="71"/>
      <c r="U71" s="71"/>
      <c r="W71"/>
    </row>
    <row r="72" spans="3:23" ht="15.75">
      <c r="C72" s="69">
        <v>1019079546</v>
      </c>
      <c r="D72" s="70">
        <v>5</v>
      </c>
      <c r="E72" s="70">
        <v>36058</v>
      </c>
      <c r="F72" s="70" t="s">
        <v>197</v>
      </c>
      <c r="G72" s="70" t="s">
        <v>198</v>
      </c>
      <c r="H72" s="70" t="s">
        <v>86</v>
      </c>
      <c r="I72" s="70">
        <v>9002</v>
      </c>
      <c r="J72" s="71">
        <f>VLOOKUP(C72,'Base ejecuciones Oct-17 (2)'!A62:M557,2,0)</f>
        <v>55</v>
      </c>
      <c r="K72" s="71"/>
      <c r="L72" s="71">
        <f>VLOOKUP(C72,'Base ejecuciones Oct-17 (2)'!A63:M557,4,0)</f>
        <v>15</v>
      </c>
      <c r="M72" s="71"/>
      <c r="N72" s="71"/>
      <c r="O72" s="71"/>
      <c r="P72" s="71"/>
      <c r="Q72" s="71"/>
      <c r="R72" s="71"/>
      <c r="S72" s="71"/>
      <c r="T72" s="71"/>
      <c r="U72" s="71"/>
      <c r="W72"/>
    </row>
    <row r="73" spans="3:23" ht="15.75">
      <c r="C73" s="69">
        <v>1093760054</v>
      </c>
      <c r="D73" s="70">
        <v>136</v>
      </c>
      <c r="E73" s="70">
        <v>9525</v>
      </c>
      <c r="F73" s="70" t="s">
        <v>110</v>
      </c>
      <c r="G73" s="70" t="s">
        <v>199</v>
      </c>
      <c r="H73" s="70" t="s">
        <v>86</v>
      </c>
      <c r="I73" s="70">
        <v>9008</v>
      </c>
      <c r="J73" s="71">
        <f>VLOOKUP(C73,'Base ejecuciones Oct-17 (2)'!A63:M558,2,0)</f>
        <v>46</v>
      </c>
      <c r="K73" s="71"/>
      <c r="L73" s="71">
        <f>VLOOKUP(C73,'Base ejecuciones Oct-17 (2)'!A64:M558,4,0)</f>
        <v>20</v>
      </c>
      <c r="M73" s="71"/>
      <c r="N73" s="71"/>
      <c r="O73" s="71"/>
      <c r="P73" s="71"/>
      <c r="Q73" s="71"/>
      <c r="R73" s="71"/>
      <c r="S73" s="71"/>
      <c r="T73" s="71"/>
      <c r="U73" s="71"/>
      <c r="W73"/>
    </row>
    <row r="74" spans="3:23" ht="15.75">
      <c r="C74" s="69">
        <v>1140861189</v>
      </c>
      <c r="D74" s="70">
        <v>102</v>
      </c>
      <c r="E74" s="70">
        <v>9878</v>
      </c>
      <c r="F74" s="70" t="s">
        <v>97</v>
      </c>
      <c r="G74" s="70" t="s">
        <v>200</v>
      </c>
      <c r="H74" s="70" t="s">
        <v>86</v>
      </c>
      <c r="I74" s="70">
        <v>9009</v>
      </c>
      <c r="J74" s="71">
        <f>VLOOKUP(C74,'Base ejecuciones Oct-17 (2)'!A64:M559,2,0)</f>
        <v>44</v>
      </c>
      <c r="K74" s="71"/>
      <c r="L74" s="71">
        <f>VLOOKUP(C74,'Base ejecuciones Oct-17 (2)'!A65:M559,4,0)</f>
        <v>8</v>
      </c>
      <c r="M74" s="71"/>
      <c r="N74" s="71"/>
      <c r="O74" s="71"/>
      <c r="P74" s="71"/>
      <c r="Q74" s="71"/>
      <c r="R74" s="71"/>
      <c r="S74" s="71"/>
      <c r="T74" s="71"/>
      <c r="U74" s="71"/>
      <c r="W74"/>
    </row>
    <row r="75" spans="3:23" ht="15.75">
      <c r="C75" s="69">
        <v>80001235</v>
      </c>
      <c r="D75" s="70">
        <v>63</v>
      </c>
      <c r="E75" s="70">
        <v>9540</v>
      </c>
      <c r="F75" s="70" t="s">
        <v>114</v>
      </c>
      <c r="G75" s="70" t="s">
        <v>201</v>
      </c>
      <c r="H75" s="70" t="s">
        <v>86</v>
      </c>
      <c r="I75" s="70">
        <v>9004</v>
      </c>
      <c r="J75" s="71">
        <f>VLOOKUP(C75,'Base ejecuciones Oct-17 (2)'!A65:M560,2,0)</f>
        <v>75</v>
      </c>
      <c r="K75" s="71"/>
      <c r="L75" s="71">
        <f>VLOOKUP(C75,'Base ejecuciones Oct-17 (2)'!A66:M560,4,0)</f>
        <v>12</v>
      </c>
      <c r="M75" s="71"/>
      <c r="N75" s="71"/>
      <c r="O75" s="71"/>
      <c r="P75" s="71"/>
      <c r="Q75" s="71"/>
      <c r="R75" s="71"/>
      <c r="S75" s="71"/>
      <c r="T75" s="71"/>
      <c r="U75" s="71"/>
      <c r="W75"/>
    </row>
    <row r="76" spans="3:23" ht="15.75">
      <c r="C76" s="69">
        <v>1105786644</v>
      </c>
      <c r="D76" s="70">
        <v>23</v>
      </c>
      <c r="E76" s="70">
        <v>31393</v>
      </c>
      <c r="F76" s="70" t="s">
        <v>139</v>
      </c>
      <c r="G76" s="70" t="s">
        <v>202</v>
      </c>
      <c r="H76" s="70" t="s">
        <v>86</v>
      </c>
      <c r="I76" s="70">
        <v>9001</v>
      </c>
      <c r="J76" s="71">
        <f>VLOOKUP(C76,'Base ejecuciones Oct-17 (2)'!A66:M561,2,0)</f>
        <v>51</v>
      </c>
      <c r="K76" s="71"/>
      <c r="L76" s="71">
        <f>VLOOKUP(C76,'Base ejecuciones Oct-17 (2)'!A67:M561,4,0)</f>
        <v>14</v>
      </c>
      <c r="M76" s="71"/>
      <c r="N76" s="71"/>
      <c r="O76" s="71"/>
      <c r="P76" s="71"/>
      <c r="Q76" s="71"/>
      <c r="R76" s="71"/>
      <c r="S76" s="71"/>
      <c r="T76" s="71"/>
      <c r="U76" s="71"/>
      <c r="W76"/>
    </row>
    <row r="77" spans="3:23" ht="15.75">
      <c r="C77" s="69">
        <v>53070485</v>
      </c>
      <c r="D77" s="70">
        <v>156</v>
      </c>
      <c r="E77" s="70">
        <v>9994</v>
      </c>
      <c r="F77" s="70" t="s">
        <v>203</v>
      </c>
      <c r="G77" s="70" t="s">
        <v>204</v>
      </c>
      <c r="H77" s="70" t="s">
        <v>86</v>
      </c>
      <c r="I77" s="70">
        <v>9004</v>
      </c>
      <c r="J77" s="71">
        <f>VLOOKUP(C77,'Base ejecuciones Oct-17 (2)'!A67:M562,2,0)</f>
        <v>35</v>
      </c>
      <c r="K77" s="71"/>
      <c r="L77" s="71">
        <f>VLOOKUP(C77,'Base ejecuciones Oct-17 (2)'!A68:M562,4,0)</f>
        <v>19</v>
      </c>
      <c r="M77" s="71"/>
      <c r="N77" s="71"/>
      <c r="O77" s="71"/>
      <c r="P77" s="71"/>
      <c r="Q77" s="71"/>
      <c r="R77" s="71"/>
      <c r="S77" s="71"/>
      <c r="T77" s="71"/>
      <c r="U77" s="71"/>
      <c r="W77"/>
    </row>
    <row r="78" spans="3:23" ht="15.75">
      <c r="C78" s="69">
        <v>1090469124</v>
      </c>
      <c r="D78" s="70">
        <v>895</v>
      </c>
      <c r="E78" s="70">
        <v>37094</v>
      </c>
      <c r="F78" s="70" t="s">
        <v>205</v>
      </c>
      <c r="G78" s="70" t="s">
        <v>206</v>
      </c>
      <c r="H78" s="70" t="s">
        <v>86</v>
      </c>
      <c r="I78" s="70">
        <v>9008</v>
      </c>
      <c r="J78" s="71">
        <f>VLOOKUP(C78,'Base ejecuciones Oct-17 (2)'!A68:M563,2,0)</f>
        <v>70</v>
      </c>
      <c r="K78" s="71"/>
      <c r="L78" s="71">
        <f>VLOOKUP(C78,'Base ejecuciones Oct-17 (2)'!A69:M563,4,0)</f>
        <v>12</v>
      </c>
      <c r="M78" s="71"/>
      <c r="N78" s="71"/>
      <c r="O78" s="71"/>
      <c r="P78" s="71"/>
      <c r="Q78" s="71"/>
      <c r="R78" s="71"/>
      <c r="S78" s="71"/>
      <c r="T78" s="71"/>
      <c r="U78" s="71"/>
      <c r="W78"/>
    </row>
    <row r="79" spans="3:23" ht="15.75">
      <c r="C79" s="69">
        <v>1075677501</v>
      </c>
      <c r="D79" s="70">
        <v>25</v>
      </c>
      <c r="E79" s="70">
        <v>36380</v>
      </c>
      <c r="F79" s="70" t="s">
        <v>207</v>
      </c>
      <c r="G79" s="70" t="s">
        <v>208</v>
      </c>
      <c r="H79" s="70" t="s">
        <v>86</v>
      </c>
      <c r="I79" s="70">
        <v>9001</v>
      </c>
      <c r="J79" s="71">
        <f>VLOOKUP(C79,'Base ejecuciones Oct-17 (2)'!A69:M564,2,0)</f>
        <v>108</v>
      </c>
      <c r="K79" s="71"/>
      <c r="L79" s="71">
        <f>VLOOKUP(C79,'Base ejecuciones Oct-17 (2)'!A70:M564,4,0)</f>
        <v>9</v>
      </c>
      <c r="M79" s="71"/>
      <c r="N79" s="71"/>
      <c r="O79" s="71"/>
      <c r="P79" s="71"/>
      <c r="Q79" s="71"/>
      <c r="R79" s="71"/>
      <c r="S79" s="71"/>
      <c r="T79" s="71"/>
      <c r="U79" s="71"/>
      <c r="W79"/>
    </row>
    <row r="80" spans="3:23" ht="15.75">
      <c r="C80" s="69">
        <v>51968566</v>
      </c>
      <c r="D80" s="70">
        <v>29</v>
      </c>
      <c r="E80" s="70">
        <v>8056</v>
      </c>
      <c r="F80" s="70" t="s">
        <v>159</v>
      </c>
      <c r="G80" s="70" t="s">
        <v>209</v>
      </c>
      <c r="H80" s="70" t="s">
        <v>86</v>
      </c>
      <c r="I80" s="70">
        <v>9001</v>
      </c>
      <c r="J80" s="71">
        <f>VLOOKUP(C80,'Base ejecuciones Oct-17 (2)'!A70:M565,2,0)</f>
        <v>60</v>
      </c>
      <c r="K80" s="71"/>
      <c r="L80" s="71">
        <f>VLOOKUP(C80,'Base ejecuciones Oct-17 (2)'!A71:M565,4,0)</f>
        <v>14</v>
      </c>
      <c r="M80" s="71"/>
      <c r="N80" s="71"/>
      <c r="O80" s="71"/>
      <c r="P80" s="71"/>
      <c r="Q80" s="71"/>
      <c r="R80" s="71"/>
      <c r="S80" s="71"/>
      <c r="T80" s="71"/>
      <c r="U80" s="71"/>
      <c r="W80"/>
    </row>
    <row r="81" spans="3:23" ht="15.75">
      <c r="C81" s="69">
        <v>1144139793</v>
      </c>
      <c r="D81" s="70">
        <v>765</v>
      </c>
      <c r="E81" s="70">
        <v>38814</v>
      </c>
      <c r="F81" s="70" t="s">
        <v>210</v>
      </c>
      <c r="G81" s="70" t="s">
        <v>211</v>
      </c>
      <c r="H81" s="70" t="s">
        <v>86</v>
      </c>
      <c r="I81" s="70">
        <v>9006</v>
      </c>
      <c r="J81" s="71">
        <f>VLOOKUP(C81,'Base ejecuciones Oct-17 (2)'!A71:M566,2,0)</f>
        <v>48</v>
      </c>
      <c r="K81" s="71"/>
      <c r="L81" s="71">
        <f>VLOOKUP(C81,'Base ejecuciones Oct-17 (2)'!A72:M566,4,0)</f>
        <v>13</v>
      </c>
      <c r="M81" s="71"/>
      <c r="N81" s="71"/>
      <c r="O81" s="71"/>
      <c r="P81" s="71"/>
      <c r="Q81" s="71"/>
      <c r="R81" s="71"/>
      <c r="S81" s="71"/>
      <c r="T81" s="71"/>
      <c r="U81" s="71"/>
      <c r="W81"/>
    </row>
    <row r="82" spans="3:23" ht="15.75">
      <c r="C82" s="69">
        <v>52371021</v>
      </c>
      <c r="D82" s="70">
        <v>429</v>
      </c>
      <c r="E82" s="70">
        <v>38432</v>
      </c>
      <c r="F82" s="70" t="s">
        <v>212</v>
      </c>
      <c r="G82" s="70" t="s">
        <v>213</v>
      </c>
      <c r="H82" s="70" t="s">
        <v>86</v>
      </c>
      <c r="I82" s="70">
        <v>9001</v>
      </c>
      <c r="J82" s="71">
        <f>VLOOKUP(C82,'Base ejecuciones Oct-17 (2)'!A72:M567,2,0)</f>
        <v>41</v>
      </c>
      <c r="K82" s="71"/>
      <c r="L82" s="71">
        <f>VLOOKUP(C82,'Base ejecuciones Oct-17 (2)'!A73:M567,4,0)</f>
        <v>11</v>
      </c>
      <c r="M82" s="71"/>
      <c r="N82" s="71"/>
      <c r="O82" s="71"/>
      <c r="P82" s="71"/>
      <c r="Q82" s="71"/>
      <c r="R82" s="71"/>
      <c r="S82" s="71"/>
      <c r="T82" s="71"/>
      <c r="U82" s="71"/>
      <c r="W82"/>
    </row>
    <row r="83" spans="3:23" ht="15.75">
      <c r="C83" s="69">
        <v>65785486</v>
      </c>
      <c r="D83" s="70">
        <v>213</v>
      </c>
      <c r="E83" s="70">
        <v>9117</v>
      </c>
      <c r="F83" s="70" t="s">
        <v>214</v>
      </c>
      <c r="G83" s="70" t="s">
        <v>215</v>
      </c>
      <c r="H83" s="70" t="s">
        <v>86</v>
      </c>
      <c r="I83" s="70">
        <v>9005</v>
      </c>
      <c r="J83" s="71">
        <f>VLOOKUP(C83,'Base ejecuciones Oct-17 (2)'!A73:M568,2,0)</f>
        <v>89</v>
      </c>
      <c r="K83" s="71"/>
      <c r="L83" s="71">
        <f>VLOOKUP(C83,'Base ejecuciones Oct-17 (2)'!A74:M568,4,0)</f>
        <v>12</v>
      </c>
      <c r="M83" s="71"/>
      <c r="N83" s="71"/>
      <c r="O83" s="71"/>
      <c r="P83" s="71"/>
      <c r="Q83" s="71"/>
      <c r="R83" s="71"/>
      <c r="S83" s="71"/>
      <c r="T83" s="71"/>
      <c r="U83" s="71"/>
      <c r="W83"/>
    </row>
    <row r="84" spans="3:23" ht="15.75">
      <c r="C84" s="69">
        <v>1128430053</v>
      </c>
      <c r="D84" s="70">
        <v>11</v>
      </c>
      <c r="E84" s="70">
        <v>9770</v>
      </c>
      <c r="F84" s="70" t="s">
        <v>165</v>
      </c>
      <c r="G84" s="70" t="s">
        <v>216</v>
      </c>
      <c r="H84" s="70" t="s">
        <v>86</v>
      </c>
      <c r="I84" s="70">
        <v>9002</v>
      </c>
      <c r="J84" s="71">
        <f>VLOOKUP(C84,'Base ejecuciones Oct-17 (2)'!A74:M569,2,0)</f>
        <v>14</v>
      </c>
      <c r="K84" s="71"/>
      <c r="L84" s="71">
        <f>VLOOKUP(C84,'Base ejecuciones Oct-17 (2)'!A75:M569,4,0)</f>
        <v>0</v>
      </c>
      <c r="M84" s="71"/>
      <c r="N84" s="71"/>
      <c r="O84" s="71"/>
      <c r="P84" s="71"/>
      <c r="Q84" s="71"/>
      <c r="R84" s="71"/>
      <c r="S84" s="71"/>
      <c r="T84" s="71"/>
      <c r="U84" s="71"/>
      <c r="W84"/>
    </row>
    <row r="85" spans="3:23" ht="15.75">
      <c r="C85" s="69">
        <v>37900818</v>
      </c>
      <c r="D85" s="70">
        <v>132</v>
      </c>
      <c r="E85" s="70">
        <v>35431</v>
      </c>
      <c r="F85" s="70" t="s">
        <v>217</v>
      </c>
      <c r="G85" s="70" t="s">
        <v>218</v>
      </c>
      <c r="H85" s="70" t="s">
        <v>86</v>
      </c>
      <c r="I85" s="70">
        <v>9008</v>
      </c>
      <c r="J85" s="71">
        <f>VLOOKUP(C85,'Base ejecuciones Oct-17 (2)'!A75:M570,2,0)</f>
        <v>62</v>
      </c>
      <c r="K85" s="71"/>
      <c r="L85" s="71">
        <f>VLOOKUP(C85,'Base ejecuciones Oct-17 (2)'!A76:M570,4,0)</f>
        <v>7</v>
      </c>
      <c r="M85" s="71"/>
      <c r="N85" s="71"/>
      <c r="O85" s="71"/>
      <c r="P85" s="71"/>
      <c r="Q85" s="71"/>
      <c r="R85" s="71"/>
      <c r="S85" s="71"/>
      <c r="T85" s="71"/>
      <c r="U85" s="71"/>
      <c r="W85"/>
    </row>
    <row r="86" spans="3:23" ht="15.75">
      <c r="C86" s="69">
        <v>1014269744</v>
      </c>
      <c r="D86" s="70">
        <v>12</v>
      </c>
      <c r="E86" s="70">
        <v>36930</v>
      </c>
      <c r="F86" s="70" t="s">
        <v>84</v>
      </c>
      <c r="G86" s="70" t="s">
        <v>219</v>
      </c>
      <c r="H86" s="70" t="s">
        <v>116</v>
      </c>
      <c r="I86" s="70">
        <v>9002</v>
      </c>
      <c r="J86" s="71">
        <f>VLOOKUP(C86,'Base ejecuciones Oct-17 (2)'!A76:M571,2,0)</f>
        <v>42</v>
      </c>
      <c r="K86" s="71"/>
      <c r="L86" s="71">
        <f>VLOOKUP(C86,'Base ejecuciones Oct-17 (2)'!A77:M571,4,0)</f>
        <v>5</v>
      </c>
      <c r="M86" s="71"/>
      <c r="N86" s="71"/>
      <c r="O86" s="71"/>
      <c r="P86" s="71"/>
      <c r="Q86" s="71"/>
      <c r="R86" s="71"/>
      <c r="S86" s="71"/>
      <c r="T86" s="71"/>
      <c r="U86" s="71"/>
      <c r="W86"/>
    </row>
    <row r="87" spans="3:23" ht="15.75">
      <c r="C87" s="69">
        <v>1067877021</v>
      </c>
      <c r="D87" s="70">
        <v>530</v>
      </c>
      <c r="E87" s="70">
        <v>37317</v>
      </c>
      <c r="F87" s="70" t="s">
        <v>220</v>
      </c>
      <c r="G87" s="70" t="s">
        <v>221</v>
      </c>
      <c r="H87" s="70" t="s">
        <v>86</v>
      </c>
      <c r="I87" s="70">
        <v>9007</v>
      </c>
      <c r="J87" s="71">
        <f>VLOOKUP(C87,'Base ejecuciones Oct-17 (2)'!A77:M572,2,0)</f>
        <v>65</v>
      </c>
      <c r="K87" s="71"/>
      <c r="L87" s="71">
        <f>VLOOKUP(C87,'Base ejecuciones Oct-17 (2)'!A78:M572,4,0)</f>
        <v>1</v>
      </c>
      <c r="M87" s="71"/>
      <c r="N87" s="71"/>
      <c r="O87" s="71"/>
      <c r="P87" s="71"/>
      <c r="Q87" s="71"/>
      <c r="R87" s="71"/>
      <c r="S87" s="71"/>
      <c r="T87" s="71"/>
      <c r="U87" s="71"/>
      <c r="W87"/>
    </row>
    <row r="88" spans="3:23" ht="15.75">
      <c r="C88" s="69">
        <v>1031123630</v>
      </c>
      <c r="D88" s="70">
        <v>79</v>
      </c>
      <c r="E88" s="70">
        <v>8957</v>
      </c>
      <c r="F88" s="70" t="s">
        <v>222</v>
      </c>
      <c r="G88" s="70" t="s">
        <v>223</v>
      </c>
      <c r="H88" s="70" t="s">
        <v>86</v>
      </c>
      <c r="I88" s="70">
        <v>9003</v>
      </c>
      <c r="J88" s="71">
        <f>VLOOKUP(C88,'Base ejecuciones Oct-17 (2)'!A78:M573,2,0)</f>
        <v>43</v>
      </c>
      <c r="K88" s="71"/>
      <c r="L88" s="71">
        <f>VLOOKUP(C88,'Base ejecuciones Oct-17 (2)'!A79:M573,4,0)</f>
        <v>6</v>
      </c>
      <c r="M88" s="71"/>
      <c r="N88" s="71"/>
      <c r="O88" s="71"/>
      <c r="P88" s="71"/>
      <c r="Q88" s="71"/>
      <c r="R88" s="71"/>
      <c r="S88" s="71"/>
      <c r="T88" s="71"/>
      <c r="U88" s="71"/>
      <c r="W88"/>
    </row>
    <row r="89" spans="3:23" ht="15.75">
      <c r="C89" s="69">
        <v>1032445748</v>
      </c>
      <c r="D89" s="70">
        <v>634</v>
      </c>
      <c r="E89" s="70">
        <v>38104</v>
      </c>
      <c r="F89" s="70" t="s">
        <v>224</v>
      </c>
      <c r="G89" s="70" t="s">
        <v>225</v>
      </c>
      <c r="H89" s="70" t="s">
        <v>116</v>
      </c>
      <c r="I89" s="70">
        <v>9001</v>
      </c>
      <c r="J89" s="71">
        <f>VLOOKUP(C89,'Base ejecuciones Oct-17 (2)'!A79:M574,2,0)</f>
        <v>67</v>
      </c>
      <c r="K89" s="71"/>
      <c r="L89" s="71">
        <f>VLOOKUP(C89,'Base ejecuciones Oct-17 (2)'!A80:M574,4,0)</f>
        <v>8</v>
      </c>
      <c r="M89" s="71"/>
      <c r="N89" s="71"/>
      <c r="O89" s="71"/>
      <c r="P89" s="71"/>
      <c r="Q89" s="71"/>
      <c r="R89" s="71"/>
      <c r="S89" s="71"/>
      <c r="T89" s="71"/>
      <c r="U89" s="71"/>
      <c r="W89"/>
    </row>
    <row r="90" spans="3:23" ht="13.9" customHeight="1">
      <c r="C90" s="69">
        <v>1017155100</v>
      </c>
      <c r="D90" s="70">
        <v>171</v>
      </c>
      <c r="E90" s="70">
        <v>9896</v>
      </c>
      <c r="F90" s="70" t="s">
        <v>123</v>
      </c>
      <c r="G90" s="70" t="s">
        <v>226</v>
      </c>
      <c r="H90" s="70" t="s">
        <v>86</v>
      </c>
      <c r="I90" s="70">
        <v>9007</v>
      </c>
      <c r="J90" s="71">
        <f>VLOOKUP(C90,'Base ejecuciones Oct-17 (2)'!A80:M575,2,0)</f>
        <v>62</v>
      </c>
      <c r="K90" s="71"/>
      <c r="L90" s="71">
        <f>VLOOKUP(C90,'Base ejecuciones Oct-17 (2)'!A81:M575,4,0)</f>
        <v>7</v>
      </c>
      <c r="M90" s="71"/>
      <c r="N90" s="71"/>
      <c r="O90" s="71"/>
      <c r="P90" s="71"/>
      <c r="Q90" s="71"/>
      <c r="R90" s="71"/>
      <c r="S90" s="71"/>
      <c r="T90" s="71"/>
      <c r="U90" s="71"/>
      <c r="W90"/>
    </row>
    <row r="91" spans="3:23" ht="13.9" customHeight="1">
      <c r="C91" s="69">
        <v>1036628798</v>
      </c>
      <c r="D91" s="70">
        <v>276</v>
      </c>
      <c r="E91" s="70">
        <v>31679</v>
      </c>
      <c r="F91" s="70" t="s">
        <v>148</v>
      </c>
      <c r="G91" s="70" t="s">
        <v>227</v>
      </c>
      <c r="H91" s="70" t="s">
        <v>86</v>
      </c>
      <c r="I91" s="70">
        <v>9007</v>
      </c>
      <c r="J91" s="71">
        <f>VLOOKUP(C91,'Base ejecuciones Oct-17 (2)'!A81:M576,2,0)</f>
        <v>49</v>
      </c>
      <c r="K91" s="71"/>
      <c r="L91" s="71">
        <f>VLOOKUP(C91,'Base ejecuciones Oct-17 (2)'!A82:M576,4,0)</f>
        <v>13</v>
      </c>
      <c r="M91" s="71"/>
      <c r="N91" s="71"/>
      <c r="O91" s="71"/>
      <c r="P91" s="71"/>
      <c r="Q91" s="71"/>
      <c r="R91" s="71"/>
      <c r="S91" s="71"/>
      <c r="T91" s="71"/>
      <c r="U91" s="71"/>
      <c r="W91"/>
    </row>
    <row r="92" spans="3:23" ht="13.9" customHeight="1">
      <c r="C92" s="69">
        <v>1015413125</v>
      </c>
      <c r="D92" s="70">
        <v>629</v>
      </c>
      <c r="E92" s="70">
        <v>31822</v>
      </c>
      <c r="F92" s="70" t="s">
        <v>161</v>
      </c>
      <c r="G92" s="70" t="s">
        <v>228</v>
      </c>
      <c r="H92" s="70" t="s">
        <v>86</v>
      </c>
      <c r="I92" s="70">
        <v>9001</v>
      </c>
      <c r="J92" s="71">
        <f>VLOOKUP(C92,'Base ejecuciones Oct-17 (2)'!A82:M577,2,0)</f>
        <v>66</v>
      </c>
      <c r="K92" s="71"/>
      <c r="L92" s="71">
        <f>VLOOKUP(C92,'Base ejecuciones Oct-17 (2)'!A83:M577,4,0)</f>
        <v>6</v>
      </c>
      <c r="M92" s="71"/>
      <c r="N92" s="71"/>
      <c r="O92" s="71"/>
      <c r="P92" s="71"/>
      <c r="Q92" s="71"/>
      <c r="R92" s="71"/>
      <c r="S92" s="71"/>
      <c r="T92" s="71"/>
      <c r="U92" s="71"/>
      <c r="W92"/>
    </row>
    <row r="93" spans="3:23" ht="13.9" customHeight="1">
      <c r="C93" s="69">
        <v>1070010862</v>
      </c>
      <c r="D93" s="70">
        <v>25</v>
      </c>
      <c r="E93" s="70">
        <v>9316</v>
      </c>
      <c r="F93" s="70" t="s">
        <v>207</v>
      </c>
      <c r="G93" s="70" t="s">
        <v>229</v>
      </c>
      <c r="H93" s="70" t="s">
        <v>116</v>
      </c>
      <c r="I93" s="70">
        <v>9001</v>
      </c>
      <c r="J93" s="71">
        <f>VLOOKUP(C93,'Base ejecuciones Oct-17 (2)'!A83:M578,2,0)</f>
        <v>58</v>
      </c>
      <c r="K93" s="71"/>
      <c r="L93" s="71">
        <f>VLOOKUP(C93,'Base ejecuciones Oct-17 (2)'!A84:M578,4,0)</f>
        <v>9</v>
      </c>
      <c r="M93" s="71"/>
      <c r="N93" s="71"/>
      <c r="O93" s="71"/>
      <c r="P93" s="71"/>
      <c r="Q93" s="71"/>
      <c r="R93" s="71"/>
      <c r="S93" s="71"/>
      <c r="T93" s="71"/>
      <c r="U93" s="71"/>
      <c r="W93"/>
    </row>
    <row r="94" spans="3:23" ht="13.9" customHeight="1">
      <c r="C94" s="69">
        <v>1020452848</v>
      </c>
      <c r="D94" s="70">
        <v>175</v>
      </c>
      <c r="E94" s="70">
        <v>8798</v>
      </c>
      <c r="F94" s="70" t="s">
        <v>230</v>
      </c>
      <c r="G94" s="70" t="s">
        <v>231</v>
      </c>
      <c r="H94" s="70" t="s">
        <v>86</v>
      </c>
      <c r="I94" s="70">
        <v>9007</v>
      </c>
      <c r="J94" s="71">
        <f>VLOOKUP(C94,'Base ejecuciones Oct-17 (2)'!A84:M579,2,0)</f>
        <v>31</v>
      </c>
      <c r="K94" s="71"/>
      <c r="L94" s="71">
        <f>VLOOKUP(C94,'Base ejecuciones Oct-17 (2)'!A85:M579,4,0)</f>
        <v>10</v>
      </c>
      <c r="M94" s="71"/>
      <c r="N94" s="71"/>
      <c r="O94" s="71"/>
      <c r="P94" s="71"/>
      <c r="Q94" s="71"/>
      <c r="R94" s="71"/>
      <c r="S94" s="71"/>
      <c r="T94" s="71"/>
      <c r="U94" s="71"/>
      <c r="W94"/>
    </row>
    <row r="95" spans="3:23" ht="13.9" customHeight="1">
      <c r="C95" s="69">
        <v>1036641572</v>
      </c>
      <c r="D95" s="70">
        <v>174</v>
      </c>
      <c r="E95" s="70">
        <v>34499</v>
      </c>
      <c r="F95" s="70" t="s">
        <v>232</v>
      </c>
      <c r="G95" s="70" t="s">
        <v>233</v>
      </c>
      <c r="H95" s="70" t="s">
        <v>86</v>
      </c>
      <c r="I95" s="70">
        <v>9007</v>
      </c>
      <c r="J95" s="71">
        <f>VLOOKUP(C95,'Base ejecuciones Oct-17 (2)'!A85:M580,2,0)</f>
        <v>35</v>
      </c>
      <c r="K95" s="71"/>
      <c r="L95" s="71">
        <f>VLOOKUP(C95,'Base ejecuciones Oct-17 (2)'!A86:M580,4,0)</f>
        <v>1</v>
      </c>
      <c r="M95" s="71"/>
      <c r="N95" s="71"/>
      <c r="O95" s="71"/>
      <c r="P95" s="71"/>
      <c r="Q95" s="71"/>
      <c r="R95" s="71"/>
      <c r="S95" s="71"/>
      <c r="T95" s="71"/>
      <c r="U95" s="71"/>
      <c r="W95"/>
    </row>
    <row r="96" spans="3:23" ht="13.9" customHeight="1">
      <c r="C96" s="69">
        <v>51918311</v>
      </c>
      <c r="D96" s="70">
        <v>16</v>
      </c>
      <c r="E96" s="70">
        <v>8158</v>
      </c>
      <c r="F96" s="70" t="s">
        <v>105</v>
      </c>
      <c r="G96" s="70" t="s">
        <v>234</v>
      </c>
      <c r="H96" s="70" t="s">
        <v>86</v>
      </c>
      <c r="I96" s="70">
        <v>9003</v>
      </c>
      <c r="J96" s="71">
        <f>VLOOKUP(C96,'Base ejecuciones Oct-17 (2)'!A86:M581,2,0)</f>
        <v>53</v>
      </c>
      <c r="K96" s="71"/>
      <c r="L96" s="71">
        <f>VLOOKUP(C96,'Base ejecuciones Oct-17 (2)'!A87:M581,4,0)</f>
        <v>17</v>
      </c>
      <c r="M96" s="71"/>
      <c r="N96" s="71"/>
      <c r="O96" s="71"/>
      <c r="P96" s="71"/>
      <c r="Q96" s="71"/>
      <c r="R96" s="71"/>
      <c r="S96" s="71"/>
      <c r="T96" s="71"/>
      <c r="U96" s="71"/>
      <c r="W96"/>
    </row>
    <row r="97" spans="3:23" ht="13.9" customHeight="1">
      <c r="C97" s="69">
        <v>87061139</v>
      </c>
      <c r="D97" s="70">
        <v>163</v>
      </c>
      <c r="E97" s="70">
        <v>37680</v>
      </c>
      <c r="F97" s="70" t="s">
        <v>235</v>
      </c>
      <c r="G97" s="70" t="s">
        <v>236</v>
      </c>
      <c r="H97" s="70" t="s">
        <v>86</v>
      </c>
      <c r="I97" s="70">
        <v>9006</v>
      </c>
      <c r="J97" s="71">
        <f>VLOOKUP(C97,'Base ejecuciones Oct-17 (2)'!A87:M582,2,0)</f>
        <v>34</v>
      </c>
      <c r="K97" s="71"/>
      <c r="L97" s="71">
        <f>VLOOKUP(C97,'Base ejecuciones Oct-17 (2)'!A88:M582,4,0)</f>
        <v>12</v>
      </c>
      <c r="M97" s="71"/>
      <c r="N97" s="71"/>
      <c r="O97" s="71"/>
      <c r="P97" s="71"/>
      <c r="Q97" s="71"/>
      <c r="R97" s="71"/>
      <c r="S97" s="71"/>
      <c r="T97" s="71"/>
      <c r="U97" s="71"/>
      <c r="W97"/>
    </row>
    <row r="98" spans="3:23" ht="13.9" customHeight="1">
      <c r="C98" s="69">
        <v>1110456272</v>
      </c>
      <c r="D98" s="70">
        <v>213</v>
      </c>
      <c r="E98" s="70">
        <v>9043</v>
      </c>
      <c r="F98" s="70" t="s">
        <v>214</v>
      </c>
      <c r="G98" s="70" t="s">
        <v>237</v>
      </c>
      <c r="H98" s="70" t="s">
        <v>86</v>
      </c>
      <c r="I98" s="70">
        <v>9005</v>
      </c>
      <c r="J98" s="71">
        <f>VLOOKUP(C98,'Base ejecuciones Oct-17 (2)'!A88:M583,2,0)</f>
        <v>85</v>
      </c>
      <c r="K98" s="71"/>
      <c r="L98" s="71">
        <f>VLOOKUP(C98,'Base ejecuciones Oct-17 (2)'!A89:M583,4,0)</f>
        <v>10</v>
      </c>
      <c r="M98" s="71"/>
      <c r="N98" s="71"/>
      <c r="O98" s="71"/>
      <c r="P98" s="71"/>
      <c r="Q98" s="71"/>
      <c r="R98" s="71"/>
      <c r="S98" s="71"/>
      <c r="T98" s="71"/>
      <c r="U98" s="71"/>
      <c r="W98"/>
    </row>
    <row r="99" spans="3:23" ht="13.9" customHeight="1">
      <c r="C99" s="69">
        <v>52794583</v>
      </c>
      <c r="D99" s="70">
        <v>22</v>
      </c>
      <c r="E99" s="70">
        <v>9147</v>
      </c>
      <c r="F99" s="70" t="s">
        <v>112</v>
      </c>
      <c r="G99" s="70" t="s">
        <v>238</v>
      </c>
      <c r="H99" s="70" t="s">
        <v>86</v>
      </c>
      <c r="I99" s="70">
        <v>9003</v>
      </c>
      <c r="J99" s="71">
        <f>VLOOKUP(C99,'Base ejecuciones Oct-17 (2)'!A89:M584,2,0)</f>
        <v>49</v>
      </c>
      <c r="K99" s="71"/>
      <c r="L99" s="71">
        <f>VLOOKUP(C99,'Base ejecuciones Oct-17 (2)'!A90:M584,4,0)</f>
        <v>12</v>
      </c>
      <c r="M99" s="71"/>
      <c r="N99" s="71"/>
      <c r="O99" s="71"/>
      <c r="P99" s="71"/>
      <c r="Q99" s="71"/>
      <c r="R99" s="71"/>
      <c r="S99" s="71"/>
      <c r="T99" s="71"/>
      <c r="U99" s="71"/>
      <c r="W99"/>
    </row>
    <row r="100" spans="3:23" ht="13.9" customHeight="1">
      <c r="C100" s="69">
        <v>1032382633</v>
      </c>
      <c r="D100" s="70">
        <v>460</v>
      </c>
      <c r="E100" s="70">
        <v>8777</v>
      </c>
      <c r="F100" s="70" t="s">
        <v>239</v>
      </c>
      <c r="G100" s="70" t="s">
        <v>240</v>
      </c>
      <c r="H100" s="70" t="s">
        <v>86</v>
      </c>
      <c r="I100" s="70">
        <v>9002</v>
      </c>
      <c r="J100" s="71">
        <f>VLOOKUP(C100,'Base ejecuciones Oct-17 (2)'!A90:M585,2,0)</f>
        <v>84</v>
      </c>
      <c r="K100" s="71"/>
      <c r="L100" s="71">
        <f>VLOOKUP(C100,'Base ejecuciones Oct-17 (2)'!A91:M585,4,0)</f>
        <v>11</v>
      </c>
      <c r="M100" s="71"/>
      <c r="N100" s="71"/>
      <c r="O100" s="71"/>
      <c r="P100" s="71"/>
      <c r="Q100" s="71"/>
      <c r="R100" s="71"/>
      <c r="S100" s="71"/>
      <c r="T100" s="71"/>
      <c r="U100" s="71"/>
      <c r="W100"/>
    </row>
    <row r="101" spans="3:23" ht="13.9" customHeight="1">
      <c r="C101" s="69">
        <v>1110534685</v>
      </c>
      <c r="D101" s="70">
        <v>211</v>
      </c>
      <c r="E101" s="70">
        <v>9376</v>
      </c>
      <c r="F101" s="70" t="s">
        <v>241</v>
      </c>
      <c r="G101" s="70" t="s">
        <v>242</v>
      </c>
      <c r="H101" s="70" t="s">
        <v>86</v>
      </c>
      <c r="I101" s="70">
        <v>9005</v>
      </c>
      <c r="J101" s="71">
        <f>VLOOKUP(C101,'Base ejecuciones Oct-17 (2)'!A91:M586,2,0)</f>
        <v>52</v>
      </c>
      <c r="K101" s="71"/>
      <c r="L101" s="71">
        <f>VLOOKUP(C101,'Base ejecuciones Oct-17 (2)'!A92:M586,4,0)</f>
        <v>6</v>
      </c>
      <c r="M101" s="71"/>
      <c r="N101" s="71"/>
      <c r="O101" s="71"/>
      <c r="P101" s="71"/>
      <c r="Q101" s="71"/>
      <c r="R101" s="71"/>
      <c r="S101" s="71"/>
      <c r="T101" s="71"/>
      <c r="U101" s="71"/>
      <c r="W101"/>
    </row>
    <row r="102" spans="3:23" ht="13.9" customHeight="1">
      <c r="C102" s="69">
        <v>52985881</v>
      </c>
      <c r="D102" s="70">
        <v>90</v>
      </c>
      <c r="E102" s="70">
        <v>32078</v>
      </c>
      <c r="F102" s="70" t="s">
        <v>243</v>
      </c>
      <c r="G102" s="70" t="s">
        <v>244</v>
      </c>
      <c r="H102" s="70" t="s">
        <v>86</v>
      </c>
      <c r="I102" s="70">
        <v>9003</v>
      </c>
      <c r="J102" s="71">
        <f>VLOOKUP(C102,'Base ejecuciones Oct-17 (2)'!A92:M587,2,0)</f>
        <v>84</v>
      </c>
      <c r="K102" s="71"/>
      <c r="L102" s="71">
        <f>VLOOKUP(C102,'Base ejecuciones Oct-17 (2)'!A93:M587,4,0)</f>
        <v>11</v>
      </c>
      <c r="M102" s="71"/>
      <c r="N102" s="71"/>
      <c r="O102" s="71"/>
      <c r="P102" s="71"/>
      <c r="Q102" s="71"/>
      <c r="R102" s="71"/>
      <c r="S102" s="71"/>
      <c r="T102" s="71"/>
      <c r="U102" s="71"/>
      <c r="W102"/>
    </row>
    <row r="103" spans="3:23" ht="13.9" customHeight="1">
      <c r="C103" s="69">
        <v>43982807</v>
      </c>
      <c r="D103" s="70">
        <v>173</v>
      </c>
      <c r="E103" s="70">
        <v>9517</v>
      </c>
      <c r="F103" s="70" t="s">
        <v>245</v>
      </c>
      <c r="G103" s="70" t="s">
        <v>246</v>
      </c>
      <c r="H103" s="70" t="s">
        <v>86</v>
      </c>
      <c r="I103" s="70">
        <v>9007</v>
      </c>
      <c r="J103" s="71">
        <f>VLOOKUP(C103,'Base ejecuciones Oct-17 (2)'!A93:M588,2,0)</f>
        <v>48</v>
      </c>
      <c r="K103" s="71"/>
      <c r="L103" s="71">
        <f>VLOOKUP(C103,'Base ejecuciones Oct-17 (2)'!A94:M588,4,0)</f>
        <v>3</v>
      </c>
      <c r="M103" s="71"/>
      <c r="N103" s="71"/>
      <c r="O103" s="71"/>
      <c r="P103" s="71"/>
      <c r="Q103" s="71"/>
      <c r="R103" s="71"/>
      <c r="S103" s="71"/>
      <c r="T103" s="71"/>
      <c r="U103" s="71"/>
      <c r="W103"/>
    </row>
    <row r="104" spans="3:23" ht="13.9" customHeight="1">
      <c r="C104" s="69">
        <v>1032441726</v>
      </c>
      <c r="D104" s="70">
        <v>48</v>
      </c>
      <c r="E104" s="70">
        <v>9684</v>
      </c>
      <c r="F104" s="70" t="s">
        <v>247</v>
      </c>
      <c r="G104" s="70" t="s">
        <v>248</v>
      </c>
      <c r="H104" s="70" t="s">
        <v>86</v>
      </c>
      <c r="I104" s="70">
        <v>9003</v>
      </c>
      <c r="J104" s="71">
        <f>VLOOKUP(C104,'Base ejecuciones Oct-17 (2)'!A94:M589,2,0)</f>
        <v>103</v>
      </c>
      <c r="K104" s="71"/>
      <c r="L104" s="71">
        <f>VLOOKUP(C104,'Base ejecuciones Oct-17 (2)'!A95:M589,4,0)</f>
        <v>13</v>
      </c>
      <c r="M104" s="71"/>
      <c r="N104" s="71"/>
      <c r="O104" s="71"/>
      <c r="P104" s="71"/>
      <c r="Q104" s="71"/>
      <c r="R104" s="71"/>
      <c r="S104" s="71"/>
      <c r="T104" s="71"/>
      <c r="U104" s="71"/>
      <c r="W104"/>
    </row>
    <row r="105" spans="3:23" ht="13.9" customHeight="1">
      <c r="C105" s="69">
        <v>36379017</v>
      </c>
      <c r="D105" s="70">
        <v>4</v>
      </c>
      <c r="E105" s="70">
        <v>8078</v>
      </c>
      <c r="F105" s="70" t="s">
        <v>182</v>
      </c>
      <c r="G105" s="70" t="s">
        <v>249</v>
      </c>
      <c r="H105" s="70" t="s">
        <v>86</v>
      </c>
      <c r="I105" s="70">
        <v>9002</v>
      </c>
      <c r="J105" s="71">
        <f>VLOOKUP(C105,'Base ejecuciones Oct-17 (2)'!A95:M590,2,0)</f>
        <v>54</v>
      </c>
      <c r="K105" s="71"/>
      <c r="L105" s="71">
        <f>VLOOKUP(C105,'Base ejecuciones Oct-17 (2)'!A96:M590,4,0)</f>
        <v>7</v>
      </c>
      <c r="M105" s="71"/>
      <c r="N105" s="71"/>
      <c r="O105" s="71"/>
      <c r="P105" s="71"/>
      <c r="Q105" s="71"/>
      <c r="R105" s="71"/>
      <c r="S105" s="71"/>
      <c r="T105" s="71"/>
      <c r="U105" s="71"/>
      <c r="W105"/>
    </row>
    <row r="106" spans="3:23" ht="13.9" customHeight="1">
      <c r="C106" s="69">
        <v>1032476920</v>
      </c>
      <c r="D106" s="70">
        <v>20</v>
      </c>
      <c r="E106" s="70">
        <v>9866</v>
      </c>
      <c r="F106" s="70" t="s">
        <v>250</v>
      </c>
      <c r="G106" s="70" t="s">
        <v>251</v>
      </c>
      <c r="H106" s="70" t="s">
        <v>86</v>
      </c>
      <c r="I106" s="70">
        <v>9003</v>
      </c>
      <c r="J106" s="71">
        <f>VLOOKUP(C106,'Base ejecuciones Oct-17 (2)'!A96:M591,2,0)</f>
        <v>156</v>
      </c>
      <c r="K106" s="71"/>
      <c r="L106" s="71">
        <f>VLOOKUP(C106,'Base ejecuciones Oct-17 (2)'!A97:M591,4,0)</f>
        <v>8</v>
      </c>
      <c r="M106" s="71"/>
      <c r="N106" s="71"/>
      <c r="O106" s="71"/>
      <c r="P106" s="71"/>
      <c r="Q106" s="71"/>
      <c r="R106" s="71"/>
      <c r="S106" s="71"/>
      <c r="T106" s="71"/>
      <c r="U106" s="71"/>
      <c r="W106"/>
    </row>
    <row r="107" spans="3:23" ht="13.9" customHeight="1">
      <c r="C107" s="69">
        <v>80912936</v>
      </c>
      <c r="D107" s="70">
        <v>25</v>
      </c>
      <c r="E107" s="70">
        <v>8646</v>
      </c>
      <c r="F107" s="70" t="s">
        <v>207</v>
      </c>
      <c r="G107" s="70" t="s">
        <v>252</v>
      </c>
      <c r="H107" s="70" t="s">
        <v>86</v>
      </c>
      <c r="I107" s="70">
        <v>9001</v>
      </c>
      <c r="J107" s="71">
        <f>VLOOKUP(C107,'Base ejecuciones Oct-17 (2)'!A97:M592,2,0)</f>
        <v>100</v>
      </c>
      <c r="K107" s="71"/>
      <c r="L107" s="71">
        <f>VLOOKUP(C107,'Base ejecuciones Oct-17 (2)'!A98:M592,4,0)</f>
        <v>7</v>
      </c>
      <c r="M107" s="71"/>
      <c r="N107" s="71"/>
      <c r="O107" s="71"/>
      <c r="P107" s="71"/>
      <c r="Q107" s="71"/>
      <c r="R107" s="71"/>
      <c r="S107" s="71"/>
      <c r="T107" s="71"/>
      <c r="U107" s="71"/>
      <c r="W107"/>
    </row>
    <row r="108" spans="3:23" ht="13.9" customHeight="1">
      <c r="C108" s="69">
        <v>1022968395</v>
      </c>
      <c r="D108" s="70">
        <v>688</v>
      </c>
      <c r="E108" s="70">
        <v>38065</v>
      </c>
      <c r="F108" s="70" t="s">
        <v>253</v>
      </c>
      <c r="G108" s="70" t="s">
        <v>254</v>
      </c>
      <c r="H108" s="70" t="s">
        <v>86</v>
      </c>
      <c r="I108" s="70">
        <v>9004</v>
      </c>
      <c r="J108" s="71">
        <f>VLOOKUP(C108,'Base ejecuciones Oct-17 (2)'!A98:M593,2,0)</f>
        <v>77</v>
      </c>
      <c r="K108" s="71"/>
      <c r="L108" s="71">
        <f>VLOOKUP(C108,'Base ejecuciones Oct-17 (2)'!A99:M593,4,0)</f>
        <v>2</v>
      </c>
      <c r="M108" s="71"/>
      <c r="N108" s="71"/>
      <c r="O108" s="71"/>
      <c r="P108" s="71"/>
      <c r="Q108" s="71"/>
      <c r="R108" s="71"/>
      <c r="S108" s="71"/>
      <c r="T108" s="71"/>
      <c r="U108" s="71"/>
      <c r="W108"/>
    </row>
    <row r="109" spans="3:23" ht="13.9" customHeight="1">
      <c r="C109" s="69">
        <v>59831498</v>
      </c>
      <c r="D109" s="70">
        <v>794</v>
      </c>
      <c r="E109" s="70">
        <v>8257</v>
      </c>
      <c r="F109" s="70" t="s">
        <v>255</v>
      </c>
      <c r="G109" s="70" t="s">
        <v>256</v>
      </c>
      <c r="H109" s="70" t="s">
        <v>86</v>
      </c>
      <c r="I109" s="70">
        <v>9006</v>
      </c>
      <c r="J109" s="71">
        <f>VLOOKUP(C109,'Base ejecuciones Oct-17 (2)'!A99:M594,2,0)</f>
        <v>84</v>
      </c>
      <c r="K109" s="71"/>
      <c r="L109" s="71">
        <f>VLOOKUP(C109,'Base ejecuciones Oct-17 (2)'!A100:M594,4,0)</f>
        <v>5</v>
      </c>
      <c r="M109" s="71"/>
      <c r="N109" s="71"/>
      <c r="O109" s="71"/>
      <c r="P109" s="71"/>
      <c r="Q109" s="71"/>
      <c r="R109" s="71"/>
      <c r="S109" s="71"/>
      <c r="T109" s="71"/>
      <c r="U109" s="71"/>
      <c r="W109"/>
    </row>
    <row r="110" spans="3:23" ht="13.9" customHeight="1">
      <c r="C110" s="69">
        <v>59829540</v>
      </c>
      <c r="D110" s="70">
        <v>161</v>
      </c>
      <c r="E110" s="70">
        <v>8407</v>
      </c>
      <c r="F110" s="70" t="s">
        <v>257</v>
      </c>
      <c r="G110" s="70" t="s">
        <v>258</v>
      </c>
      <c r="H110" s="70" t="s">
        <v>86</v>
      </c>
      <c r="I110" s="70">
        <v>9006</v>
      </c>
      <c r="J110" s="71">
        <f>VLOOKUP(C110,'Base ejecuciones Oct-17 (2)'!A100:M595,2,0)</f>
        <v>57</v>
      </c>
      <c r="K110" s="71"/>
      <c r="L110" s="71">
        <f>VLOOKUP(C110,'Base ejecuciones Oct-17 (2)'!A101:M595,4,0)</f>
        <v>14</v>
      </c>
      <c r="M110" s="71"/>
      <c r="N110" s="71"/>
      <c r="O110" s="71"/>
      <c r="P110" s="71"/>
      <c r="Q110" s="71"/>
      <c r="R110" s="71"/>
      <c r="S110" s="71"/>
      <c r="T110" s="71"/>
      <c r="U110" s="71"/>
      <c r="W110"/>
    </row>
    <row r="111" spans="3:23" ht="13.9" customHeight="1">
      <c r="C111" s="69">
        <v>1014212838</v>
      </c>
      <c r="D111" s="70">
        <v>792</v>
      </c>
      <c r="E111" s="70">
        <v>20889</v>
      </c>
      <c r="F111" s="70" t="s">
        <v>127</v>
      </c>
      <c r="G111" s="70" t="s">
        <v>259</v>
      </c>
      <c r="H111" s="70" t="s">
        <v>86</v>
      </c>
      <c r="I111" s="70">
        <v>9002</v>
      </c>
      <c r="J111" s="71">
        <f>VLOOKUP(C111,'Base ejecuciones Oct-17 (2)'!A101:M596,2,0)</f>
        <v>72</v>
      </c>
      <c r="K111" s="71"/>
      <c r="L111" s="71">
        <f>VLOOKUP(C111,'Base ejecuciones Oct-17 (2)'!A102:M596,4,0)</f>
        <v>20</v>
      </c>
      <c r="M111" s="71"/>
      <c r="N111" s="71"/>
      <c r="O111" s="71"/>
      <c r="P111" s="71"/>
      <c r="Q111" s="71"/>
      <c r="R111" s="71"/>
      <c r="S111" s="71"/>
      <c r="T111" s="71"/>
      <c r="U111" s="71"/>
      <c r="W111"/>
    </row>
    <row r="112" spans="3:23" ht="13.9" customHeight="1">
      <c r="C112" s="69">
        <v>1060651544</v>
      </c>
      <c r="D112" s="70">
        <v>971</v>
      </c>
      <c r="E112" s="70">
        <v>38314</v>
      </c>
      <c r="F112" s="70" t="s">
        <v>260</v>
      </c>
      <c r="G112" s="70" t="s">
        <v>261</v>
      </c>
      <c r="H112" s="70" t="s">
        <v>86</v>
      </c>
      <c r="I112" s="70">
        <v>9005</v>
      </c>
      <c r="J112" s="71">
        <f>VLOOKUP(C112,'Base ejecuciones Oct-17 (2)'!A102:M597,2,0)</f>
        <v>55</v>
      </c>
      <c r="K112" s="71"/>
      <c r="L112" s="71">
        <f>VLOOKUP(C112,'Base ejecuciones Oct-17 (2)'!A103:M597,4,0)</f>
        <v>7</v>
      </c>
      <c r="M112" s="71"/>
      <c r="N112" s="71"/>
      <c r="O112" s="71"/>
      <c r="P112" s="71"/>
      <c r="Q112" s="71"/>
      <c r="R112" s="71"/>
      <c r="S112" s="71"/>
      <c r="T112" s="71"/>
      <c r="U112" s="71"/>
      <c r="W112"/>
    </row>
    <row r="113" spans="3:23" ht="13.9" customHeight="1">
      <c r="C113" s="69">
        <v>16937738</v>
      </c>
      <c r="D113" s="70">
        <v>595</v>
      </c>
      <c r="E113" s="70">
        <v>9975</v>
      </c>
      <c r="F113" s="70" t="s">
        <v>262</v>
      </c>
      <c r="G113" s="70" t="s">
        <v>263</v>
      </c>
      <c r="H113" s="70" t="s">
        <v>86</v>
      </c>
      <c r="I113" s="70">
        <v>9006</v>
      </c>
      <c r="J113" s="71">
        <f>VLOOKUP(C113,'Base ejecuciones Oct-17 (2)'!A103:M598,2,0)</f>
        <v>59</v>
      </c>
      <c r="K113" s="71"/>
      <c r="L113" s="71">
        <f>VLOOKUP(C113,'Base ejecuciones Oct-17 (2)'!A104:M598,4,0)</f>
        <v>13</v>
      </c>
      <c r="M113" s="71"/>
      <c r="N113" s="71"/>
      <c r="O113" s="71"/>
      <c r="P113" s="71"/>
      <c r="Q113" s="71"/>
      <c r="R113" s="71"/>
      <c r="S113" s="71"/>
      <c r="T113" s="71"/>
      <c r="U113" s="71"/>
      <c r="W113"/>
    </row>
    <row r="114" spans="3:23" ht="13.9" customHeight="1">
      <c r="C114" s="69">
        <v>1019119838</v>
      </c>
      <c r="D114" s="70">
        <v>27</v>
      </c>
      <c r="E114" s="70">
        <v>36387</v>
      </c>
      <c r="F114" s="70" t="s">
        <v>264</v>
      </c>
      <c r="G114" s="70" t="s">
        <v>265</v>
      </c>
      <c r="H114" s="70" t="s">
        <v>86</v>
      </c>
      <c r="I114" s="70">
        <v>9001</v>
      </c>
      <c r="J114" s="71">
        <f>VLOOKUP(C114,'Base ejecuciones Oct-17 (2)'!A104:M599,2,0)</f>
        <v>144</v>
      </c>
      <c r="K114" s="71"/>
      <c r="L114" s="71">
        <f>VLOOKUP(C114,'Base ejecuciones Oct-17 (2)'!A105:M599,4,0)</f>
        <v>4</v>
      </c>
      <c r="M114" s="71"/>
      <c r="N114" s="71"/>
      <c r="O114" s="71"/>
      <c r="P114" s="71"/>
      <c r="Q114" s="71"/>
      <c r="R114" s="71"/>
      <c r="S114" s="71"/>
      <c r="T114" s="71"/>
      <c r="U114" s="71"/>
      <c r="W114"/>
    </row>
    <row r="115" spans="3:23" ht="13.9" customHeight="1">
      <c r="C115" s="69">
        <v>1013584201</v>
      </c>
      <c r="D115" s="70">
        <v>47</v>
      </c>
      <c r="E115" s="70">
        <v>37133</v>
      </c>
      <c r="F115" s="70" t="s">
        <v>266</v>
      </c>
      <c r="G115" s="70" t="s">
        <v>267</v>
      </c>
      <c r="H115" s="70" t="s">
        <v>86</v>
      </c>
      <c r="I115" s="70">
        <v>9003</v>
      </c>
      <c r="J115" s="71">
        <f>VLOOKUP(C115,'Base ejecuciones Oct-17 (2)'!A105:M600,2,0)</f>
        <v>27</v>
      </c>
      <c r="K115" s="71"/>
      <c r="L115" s="71">
        <f>VLOOKUP(C115,'Base ejecuciones Oct-17 (2)'!A106:M600,4,0)</f>
        <v>12</v>
      </c>
      <c r="M115" s="71"/>
      <c r="N115" s="71"/>
      <c r="O115" s="71"/>
      <c r="P115" s="71"/>
      <c r="Q115" s="71"/>
      <c r="R115" s="71"/>
      <c r="S115" s="71"/>
      <c r="T115" s="71"/>
      <c r="U115" s="71"/>
      <c r="W115"/>
    </row>
    <row r="116" spans="3:23" ht="13.9" customHeight="1">
      <c r="C116" s="69">
        <v>36312342</v>
      </c>
      <c r="D116" s="70">
        <v>216</v>
      </c>
      <c r="E116" s="70">
        <v>9206</v>
      </c>
      <c r="F116" s="70" t="s">
        <v>268</v>
      </c>
      <c r="G116" s="70" t="s">
        <v>269</v>
      </c>
      <c r="H116" s="70" t="s">
        <v>86</v>
      </c>
      <c r="I116" s="70">
        <v>9005</v>
      </c>
      <c r="J116" s="71">
        <f>VLOOKUP(C116,'Base ejecuciones Oct-17 (2)'!A106:M601,2,0)</f>
        <v>78</v>
      </c>
      <c r="K116" s="71"/>
      <c r="L116" s="71">
        <f>VLOOKUP(C116,'Base ejecuciones Oct-17 (2)'!A107:M601,4,0)</f>
        <v>13</v>
      </c>
      <c r="M116" s="71"/>
      <c r="N116" s="71"/>
      <c r="O116" s="71"/>
      <c r="P116" s="71"/>
      <c r="Q116" s="71"/>
      <c r="R116" s="71"/>
      <c r="S116" s="71"/>
      <c r="T116" s="71"/>
      <c r="U116" s="71"/>
      <c r="W116"/>
    </row>
    <row r="117" spans="3:23" ht="13.9" customHeight="1">
      <c r="C117" s="69">
        <v>1015445334</v>
      </c>
      <c r="D117" s="70">
        <v>73</v>
      </c>
      <c r="E117" s="70">
        <v>9979</v>
      </c>
      <c r="F117" s="70" t="s">
        <v>87</v>
      </c>
      <c r="G117" s="70" t="s">
        <v>270</v>
      </c>
      <c r="H117" s="70" t="s">
        <v>116</v>
      </c>
      <c r="I117" s="70">
        <v>9004</v>
      </c>
      <c r="J117" s="71">
        <f>VLOOKUP(C117,'Base ejecuciones Oct-17 (2)'!A107:M602,2,0)</f>
        <v>67</v>
      </c>
      <c r="K117" s="71"/>
      <c r="L117" s="71">
        <f>VLOOKUP(C117,'Base ejecuciones Oct-17 (2)'!A108:M602,4,0)</f>
        <v>1</v>
      </c>
      <c r="M117" s="71"/>
      <c r="N117" s="71"/>
      <c r="O117" s="71"/>
      <c r="P117" s="71"/>
      <c r="Q117" s="71"/>
      <c r="R117" s="71"/>
      <c r="S117" s="71"/>
      <c r="T117" s="71"/>
      <c r="U117" s="71"/>
      <c r="W117"/>
    </row>
    <row r="118" spans="3:23" ht="13.9" customHeight="1">
      <c r="C118" s="69">
        <v>52316019</v>
      </c>
      <c r="D118" s="70">
        <v>75</v>
      </c>
      <c r="E118" s="70">
        <v>8225</v>
      </c>
      <c r="F118" s="70" t="s">
        <v>271</v>
      </c>
      <c r="G118" s="70" t="s">
        <v>272</v>
      </c>
      <c r="H118" s="70" t="s">
        <v>86</v>
      </c>
      <c r="I118" s="70">
        <v>9004</v>
      </c>
      <c r="J118" s="71">
        <f>VLOOKUP(C118,'Base ejecuciones Oct-17 (2)'!A108:M603,2,0)</f>
        <v>74</v>
      </c>
      <c r="K118" s="71"/>
      <c r="L118" s="71">
        <f>VLOOKUP(C118,'Base ejecuciones Oct-17 (2)'!A109:M603,4,0)</f>
        <v>6</v>
      </c>
      <c r="M118" s="71"/>
      <c r="N118" s="71"/>
      <c r="O118" s="71"/>
      <c r="P118" s="71"/>
      <c r="Q118" s="71"/>
      <c r="R118" s="71"/>
      <c r="S118" s="71"/>
      <c r="T118" s="71"/>
      <c r="U118" s="71"/>
      <c r="W118"/>
    </row>
    <row r="119" spans="3:23" ht="13.9" customHeight="1">
      <c r="C119" s="69">
        <v>1152186210</v>
      </c>
      <c r="D119" s="70">
        <v>188</v>
      </c>
      <c r="E119" s="70">
        <v>9942</v>
      </c>
      <c r="F119" s="70" t="s">
        <v>273</v>
      </c>
      <c r="G119" s="70" t="s">
        <v>274</v>
      </c>
      <c r="H119" s="70" t="s">
        <v>86</v>
      </c>
      <c r="I119" s="70">
        <v>9007</v>
      </c>
      <c r="J119" s="71">
        <f>VLOOKUP(C119,'Base ejecuciones Oct-17 (2)'!A109:M604,2,0)</f>
        <v>33</v>
      </c>
      <c r="K119" s="71"/>
      <c r="L119" s="71">
        <f>VLOOKUP(C119,'Base ejecuciones Oct-17 (2)'!A110:M604,4,0)</f>
        <v>5</v>
      </c>
      <c r="M119" s="71"/>
      <c r="N119" s="71"/>
      <c r="O119" s="71"/>
      <c r="P119" s="71"/>
      <c r="Q119" s="71"/>
      <c r="R119" s="71"/>
      <c r="S119" s="71"/>
      <c r="T119" s="71"/>
      <c r="U119" s="71"/>
      <c r="W119"/>
    </row>
    <row r="120" spans="3:23" ht="13.9" customHeight="1">
      <c r="C120" s="69">
        <v>1016022263</v>
      </c>
      <c r="D120" s="70">
        <v>59</v>
      </c>
      <c r="E120" s="70">
        <v>9430</v>
      </c>
      <c r="F120" s="70" t="s">
        <v>275</v>
      </c>
      <c r="G120" s="70" t="s">
        <v>276</v>
      </c>
      <c r="H120" s="70" t="s">
        <v>86</v>
      </c>
      <c r="I120" s="70">
        <v>9004</v>
      </c>
      <c r="J120" s="71">
        <f>VLOOKUP(C120,'Base ejecuciones Oct-17 (2)'!A110:M605,2,0)</f>
        <v>66</v>
      </c>
      <c r="K120" s="71"/>
      <c r="L120" s="71">
        <f>VLOOKUP(C120,'Base ejecuciones Oct-17 (2)'!A111:M605,4,0)</f>
        <v>8</v>
      </c>
      <c r="M120" s="71"/>
      <c r="N120" s="71"/>
      <c r="O120" s="71"/>
      <c r="P120" s="71"/>
      <c r="Q120" s="71"/>
      <c r="R120" s="71"/>
      <c r="S120" s="71"/>
      <c r="T120" s="71"/>
      <c r="U120" s="71"/>
      <c r="W120"/>
    </row>
    <row r="121" spans="3:23" ht="13.9" customHeight="1">
      <c r="C121" s="69">
        <v>1090418259</v>
      </c>
      <c r="D121" s="70">
        <v>135</v>
      </c>
      <c r="E121" s="70">
        <v>38206</v>
      </c>
      <c r="F121" s="70" t="s">
        <v>141</v>
      </c>
      <c r="G121" s="70" t="s">
        <v>277</v>
      </c>
      <c r="H121" s="70" t="s">
        <v>86</v>
      </c>
      <c r="I121" s="70">
        <v>9008</v>
      </c>
      <c r="J121" s="71">
        <f>VLOOKUP(C121,'Base ejecuciones Oct-17 (2)'!A111:M606,2,0)</f>
        <v>53</v>
      </c>
      <c r="K121" s="71"/>
      <c r="L121" s="71">
        <f>VLOOKUP(C121,'Base ejecuciones Oct-17 (2)'!A112:M606,4,0)</f>
        <v>5</v>
      </c>
      <c r="M121" s="71"/>
      <c r="N121" s="71"/>
      <c r="O121" s="71"/>
      <c r="P121" s="71"/>
      <c r="Q121" s="71"/>
      <c r="R121" s="71"/>
      <c r="S121" s="71"/>
      <c r="T121" s="71"/>
      <c r="U121" s="71"/>
      <c r="W121"/>
    </row>
    <row r="122" spans="3:23" ht="13.9" customHeight="1">
      <c r="C122" s="69">
        <v>1129533233</v>
      </c>
      <c r="D122" s="70">
        <v>116</v>
      </c>
      <c r="E122" s="70">
        <v>37901</v>
      </c>
      <c r="F122" s="70" t="s">
        <v>278</v>
      </c>
      <c r="G122" s="70" t="s">
        <v>279</v>
      </c>
      <c r="H122" s="70" t="s">
        <v>86</v>
      </c>
      <c r="I122" s="70">
        <v>9009</v>
      </c>
      <c r="J122" s="71">
        <f>VLOOKUP(C122,'Base ejecuciones Oct-17 (2)'!A112:M607,2,0)</f>
        <v>66</v>
      </c>
      <c r="K122" s="71"/>
      <c r="L122" s="71">
        <f>VLOOKUP(C122,'Base ejecuciones Oct-17 (2)'!A113:M607,4,0)</f>
        <v>7</v>
      </c>
      <c r="M122" s="71"/>
      <c r="N122" s="71"/>
      <c r="O122" s="71"/>
      <c r="P122" s="71"/>
      <c r="Q122" s="71"/>
      <c r="R122" s="71"/>
      <c r="S122" s="71"/>
      <c r="T122" s="71"/>
      <c r="U122" s="71"/>
      <c r="W122"/>
    </row>
    <row r="123" spans="3:23" ht="13.9" customHeight="1">
      <c r="C123" s="69">
        <v>1110455144</v>
      </c>
      <c r="D123" s="70">
        <v>211</v>
      </c>
      <c r="E123" s="70">
        <v>36151</v>
      </c>
      <c r="F123" s="70" t="s">
        <v>241</v>
      </c>
      <c r="G123" s="70" t="s">
        <v>280</v>
      </c>
      <c r="H123" s="70" t="s">
        <v>86</v>
      </c>
      <c r="I123" s="70">
        <v>9005</v>
      </c>
      <c r="J123" s="71">
        <f>VLOOKUP(C123,'Base ejecuciones Oct-17 (2)'!A113:M608,2,0)</f>
        <v>93</v>
      </c>
      <c r="K123" s="71"/>
      <c r="L123" s="71">
        <f>VLOOKUP(C123,'Base ejecuciones Oct-17 (2)'!A114:M608,4,0)</f>
        <v>7</v>
      </c>
      <c r="M123" s="71"/>
      <c r="N123" s="71"/>
      <c r="O123" s="71"/>
      <c r="P123" s="71"/>
      <c r="Q123" s="71"/>
      <c r="R123" s="71"/>
      <c r="S123" s="71"/>
      <c r="T123" s="71"/>
      <c r="U123" s="71"/>
      <c r="W123"/>
    </row>
    <row r="124" spans="3:23" ht="13.9" customHeight="1">
      <c r="C124" s="69">
        <v>1095816078</v>
      </c>
      <c r="D124" s="70">
        <v>104</v>
      </c>
      <c r="E124" s="70">
        <v>8161</v>
      </c>
      <c r="F124" s="70" t="s">
        <v>281</v>
      </c>
      <c r="G124" s="70" t="s">
        <v>282</v>
      </c>
      <c r="H124" s="70" t="s">
        <v>86</v>
      </c>
      <c r="I124" s="70">
        <v>9009</v>
      </c>
      <c r="J124" s="71">
        <f>VLOOKUP(C124,'Base ejecuciones Oct-17 (2)'!A114:M609,2,0)</f>
        <v>91</v>
      </c>
      <c r="K124" s="71"/>
      <c r="L124" s="71">
        <f>VLOOKUP(C124,'Base ejecuciones Oct-17 (2)'!A115:M609,4,0)</f>
        <v>10</v>
      </c>
      <c r="M124" s="71"/>
      <c r="N124" s="71"/>
      <c r="O124" s="71"/>
      <c r="P124" s="71"/>
      <c r="Q124" s="71"/>
      <c r="R124" s="71"/>
      <c r="S124" s="71"/>
      <c r="T124" s="71"/>
      <c r="U124" s="71"/>
      <c r="W124"/>
    </row>
    <row r="125" spans="3:23" ht="13.9" customHeight="1">
      <c r="C125" s="69">
        <v>1022373282</v>
      </c>
      <c r="D125" s="70">
        <v>6</v>
      </c>
      <c r="E125" s="70">
        <v>9617</v>
      </c>
      <c r="F125" s="70" t="s">
        <v>153</v>
      </c>
      <c r="G125" s="70" t="s">
        <v>283</v>
      </c>
      <c r="H125" s="70" t="s">
        <v>86</v>
      </c>
      <c r="I125" s="70">
        <v>9002</v>
      </c>
      <c r="J125" s="71">
        <f>VLOOKUP(C125,'Base ejecuciones Oct-17 (2)'!A115:M610,2,0)</f>
        <v>68</v>
      </c>
      <c r="K125" s="71"/>
      <c r="L125" s="71">
        <f>VLOOKUP(C125,'Base ejecuciones Oct-17 (2)'!A116:M610,4,0)</f>
        <v>13</v>
      </c>
      <c r="M125" s="71"/>
      <c r="N125" s="71"/>
      <c r="O125" s="71"/>
      <c r="P125" s="71"/>
      <c r="Q125" s="71"/>
      <c r="R125" s="71"/>
      <c r="S125" s="71"/>
      <c r="T125" s="71"/>
      <c r="U125" s="71"/>
      <c r="W125"/>
    </row>
    <row r="126" spans="3:23" ht="13.9" customHeight="1">
      <c r="C126" s="69">
        <v>91529653</v>
      </c>
      <c r="D126" s="70">
        <v>131</v>
      </c>
      <c r="E126" s="70">
        <v>38028</v>
      </c>
      <c r="F126" s="70" t="s">
        <v>121</v>
      </c>
      <c r="G126" s="70" t="s">
        <v>284</v>
      </c>
      <c r="H126" s="70" t="s">
        <v>86</v>
      </c>
      <c r="I126" s="70">
        <v>9008</v>
      </c>
      <c r="J126" s="71">
        <f>VLOOKUP(C126,'Base ejecuciones Oct-17 (2)'!A116:M611,2,0)</f>
        <v>67</v>
      </c>
      <c r="K126" s="71"/>
      <c r="L126" s="71">
        <f>VLOOKUP(C126,'Base ejecuciones Oct-17 (2)'!A117:M611,4,0)</f>
        <v>8</v>
      </c>
      <c r="M126" s="71"/>
      <c r="N126" s="71"/>
      <c r="O126" s="71"/>
      <c r="P126" s="71"/>
      <c r="Q126" s="71"/>
      <c r="R126" s="71"/>
      <c r="S126" s="71"/>
      <c r="T126" s="71"/>
      <c r="U126" s="71"/>
      <c r="W126"/>
    </row>
    <row r="127" spans="3:23" ht="13.9" customHeight="1">
      <c r="C127" s="69">
        <v>37393718</v>
      </c>
      <c r="D127" s="70">
        <v>135</v>
      </c>
      <c r="E127" s="70">
        <v>8967</v>
      </c>
      <c r="F127" s="70" t="s">
        <v>141</v>
      </c>
      <c r="G127" s="70" t="s">
        <v>285</v>
      </c>
      <c r="H127" s="70" t="s">
        <v>86</v>
      </c>
      <c r="I127" s="70">
        <v>9008</v>
      </c>
      <c r="J127" s="71">
        <f>VLOOKUP(C127,'Base ejecuciones Oct-17 (2)'!A117:M612,2,0)</f>
        <v>77</v>
      </c>
      <c r="K127" s="71"/>
      <c r="L127" s="71">
        <f>VLOOKUP(C127,'Base ejecuciones Oct-17 (2)'!A118:M612,4,0)</f>
        <v>11</v>
      </c>
      <c r="M127" s="71"/>
      <c r="N127" s="71"/>
      <c r="O127" s="71"/>
      <c r="P127" s="71"/>
      <c r="Q127" s="71"/>
      <c r="R127" s="71"/>
      <c r="S127" s="71"/>
      <c r="T127" s="71"/>
      <c r="U127" s="71"/>
      <c r="W127"/>
    </row>
    <row r="128" spans="3:23" ht="13.9" customHeight="1">
      <c r="C128" s="69">
        <v>1022337954</v>
      </c>
      <c r="D128" s="70">
        <v>43</v>
      </c>
      <c r="E128" s="70">
        <v>36400</v>
      </c>
      <c r="F128" s="70" t="s">
        <v>169</v>
      </c>
      <c r="G128" s="70" t="s">
        <v>286</v>
      </c>
      <c r="H128" s="70" t="s">
        <v>86</v>
      </c>
      <c r="I128" s="70">
        <v>9002</v>
      </c>
      <c r="J128" s="71">
        <f>VLOOKUP(C128,'Base ejecuciones Oct-17 (2)'!A118:M613,2,0)</f>
        <v>89</v>
      </c>
      <c r="K128" s="71"/>
      <c r="L128" s="71">
        <f>VLOOKUP(C128,'Base ejecuciones Oct-17 (2)'!A119:M613,4,0)</f>
        <v>10</v>
      </c>
      <c r="M128" s="71"/>
      <c r="N128" s="71"/>
      <c r="O128" s="71"/>
      <c r="P128" s="71"/>
      <c r="Q128" s="71"/>
      <c r="R128" s="71"/>
      <c r="S128" s="71"/>
      <c r="T128" s="71"/>
      <c r="U128" s="71"/>
      <c r="W128"/>
    </row>
    <row r="129" spans="3:23" ht="13.9" customHeight="1">
      <c r="C129" s="69">
        <v>80058437</v>
      </c>
      <c r="D129" s="70">
        <v>48</v>
      </c>
      <c r="E129" s="70">
        <v>8620</v>
      </c>
      <c r="F129" s="70" t="s">
        <v>247</v>
      </c>
      <c r="G129" s="70" t="s">
        <v>287</v>
      </c>
      <c r="H129" s="70" t="s">
        <v>86</v>
      </c>
      <c r="I129" s="70">
        <v>9003</v>
      </c>
      <c r="J129" s="71">
        <f>VLOOKUP(C129,'Base ejecuciones Oct-17 (2)'!A119:M614,2,0)</f>
        <v>47</v>
      </c>
      <c r="K129" s="71"/>
      <c r="L129" s="71">
        <f>VLOOKUP(C129,'Base ejecuciones Oct-17 (2)'!A120:M614,4,0)</f>
        <v>6</v>
      </c>
      <c r="M129" s="71"/>
      <c r="N129" s="71"/>
      <c r="O129" s="71"/>
      <c r="P129" s="71"/>
      <c r="Q129" s="71"/>
      <c r="R129" s="71"/>
      <c r="S129" s="71"/>
      <c r="T129" s="71"/>
      <c r="U129" s="71"/>
      <c r="W129"/>
    </row>
    <row r="130" spans="3:23" ht="13.9" customHeight="1">
      <c r="C130" s="69">
        <v>1053333894</v>
      </c>
      <c r="D130" s="70">
        <v>468</v>
      </c>
      <c r="E130" s="70">
        <v>8903</v>
      </c>
      <c r="F130" s="70" t="s">
        <v>125</v>
      </c>
      <c r="G130" s="70" t="s">
        <v>288</v>
      </c>
      <c r="H130" s="70" t="s">
        <v>86</v>
      </c>
      <c r="I130" s="70">
        <v>9004</v>
      </c>
      <c r="J130" s="71">
        <f>VLOOKUP(C130,'Base ejecuciones Oct-17 (2)'!A120:M615,2,0)</f>
        <v>68</v>
      </c>
      <c r="K130" s="71"/>
      <c r="L130" s="71">
        <f>VLOOKUP(C130,'Base ejecuciones Oct-17 (2)'!A121:M615,4,0)</f>
        <v>8</v>
      </c>
      <c r="M130" s="71"/>
      <c r="N130" s="71"/>
      <c r="O130" s="71"/>
      <c r="P130" s="71"/>
      <c r="Q130" s="71"/>
      <c r="R130" s="71"/>
      <c r="S130" s="71"/>
      <c r="T130" s="71"/>
      <c r="U130" s="71"/>
      <c r="W130"/>
    </row>
    <row r="131" spans="3:23" ht="13.9" customHeight="1">
      <c r="C131" s="69">
        <v>52395260</v>
      </c>
      <c r="D131" s="70">
        <v>797</v>
      </c>
      <c r="E131" s="70">
        <v>8039</v>
      </c>
      <c r="F131" s="70" t="s">
        <v>289</v>
      </c>
      <c r="G131" s="70" t="s">
        <v>290</v>
      </c>
      <c r="H131" s="70" t="s">
        <v>86</v>
      </c>
      <c r="I131" s="70">
        <v>9001</v>
      </c>
      <c r="J131" s="71">
        <f>VLOOKUP(C131,'Base ejecuciones Oct-17 (2)'!A121:M616,2,0)</f>
        <v>36</v>
      </c>
      <c r="K131" s="71"/>
      <c r="L131" s="71">
        <f>VLOOKUP(C131,'Base ejecuciones Oct-17 (2)'!A122:M616,4,0)</f>
        <v>12</v>
      </c>
      <c r="M131" s="71"/>
      <c r="N131" s="71"/>
      <c r="O131" s="71"/>
      <c r="P131" s="71"/>
      <c r="Q131" s="71"/>
      <c r="R131" s="71"/>
      <c r="S131" s="71"/>
      <c r="T131" s="71"/>
      <c r="U131" s="71"/>
      <c r="W131"/>
    </row>
    <row r="132" spans="3:23" ht="13.9" customHeight="1">
      <c r="C132" s="69">
        <v>1076383411</v>
      </c>
      <c r="D132" s="70">
        <v>219</v>
      </c>
      <c r="E132" s="70">
        <v>37013</v>
      </c>
      <c r="F132" s="70" t="s">
        <v>291</v>
      </c>
      <c r="G132" s="70" t="s">
        <v>292</v>
      </c>
      <c r="H132" s="70" t="s">
        <v>86</v>
      </c>
      <c r="I132" s="70">
        <v>9005</v>
      </c>
      <c r="J132" s="71">
        <f>VLOOKUP(C132,'Base ejecuciones Oct-17 (2)'!A122:M617,2,0)</f>
        <v>81</v>
      </c>
      <c r="K132" s="71"/>
      <c r="L132" s="71">
        <f>VLOOKUP(C132,'Base ejecuciones Oct-17 (2)'!A123:M617,4,0)</f>
        <v>10</v>
      </c>
      <c r="M132" s="71"/>
      <c r="N132" s="71"/>
      <c r="O132" s="71"/>
      <c r="P132" s="71"/>
      <c r="Q132" s="71"/>
      <c r="R132" s="71"/>
      <c r="S132" s="71"/>
      <c r="T132" s="71"/>
      <c r="U132" s="71"/>
      <c r="W132"/>
    </row>
    <row r="133" spans="3:23" ht="13.9" customHeight="1">
      <c r="C133" s="69">
        <v>59828397</v>
      </c>
      <c r="D133" s="70">
        <v>163</v>
      </c>
      <c r="E133" s="70">
        <v>8255</v>
      </c>
      <c r="F133" s="70" t="s">
        <v>235</v>
      </c>
      <c r="G133" s="70" t="s">
        <v>293</v>
      </c>
      <c r="H133" s="70" t="s">
        <v>86</v>
      </c>
      <c r="I133" s="70">
        <v>9006</v>
      </c>
      <c r="J133" s="71">
        <f>VLOOKUP(C133,'Base ejecuciones Oct-17 (2)'!A123:M618,2,0)</f>
        <v>27</v>
      </c>
      <c r="K133" s="71"/>
      <c r="L133" s="71">
        <f>VLOOKUP(C133,'Base ejecuciones Oct-17 (2)'!A124:M618,4,0)</f>
        <v>14</v>
      </c>
      <c r="M133" s="71"/>
      <c r="N133" s="71"/>
      <c r="O133" s="71"/>
      <c r="P133" s="71"/>
      <c r="Q133" s="71"/>
      <c r="R133" s="71"/>
      <c r="S133" s="71"/>
      <c r="T133" s="71"/>
      <c r="U133" s="71"/>
      <c r="W133"/>
    </row>
    <row r="134" spans="3:23" ht="13.9" customHeight="1">
      <c r="C134" s="69">
        <v>1128470692</v>
      </c>
      <c r="D134" s="70">
        <v>185</v>
      </c>
      <c r="E134" s="70">
        <v>9894</v>
      </c>
      <c r="F134" s="70" t="s">
        <v>294</v>
      </c>
      <c r="G134" s="70" t="s">
        <v>295</v>
      </c>
      <c r="H134" s="70" t="s">
        <v>86</v>
      </c>
      <c r="I134" s="70">
        <v>9007</v>
      </c>
      <c r="J134" s="71">
        <f>VLOOKUP(C134,'Base ejecuciones Oct-17 (2)'!A124:M619,2,0)</f>
        <v>69</v>
      </c>
      <c r="K134" s="71"/>
      <c r="L134" s="71">
        <f>VLOOKUP(C134,'Base ejecuciones Oct-17 (2)'!A125:M619,4,0)</f>
        <v>6</v>
      </c>
      <c r="M134" s="71"/>
      <c r="N134" s="71"/>
      <c r="O134" s="71"/>
      <c r="P134" s="71"/>
      <c r="Q134" s="71"/>
      <c r="R134" s="71"/>
      <c r="S134" s="71"/>
      <c r="T134" s="71"/>
      <c r="U134" s="71"/>
      <c r="W134"/>
    </row>
    <row r="135" spans="3:23" ht="13.9" customHeight="1">
      <c r="C135" s="69">
        <v>1124017849</v>
      </c>
      <c r="D135" s="70">
        <v>698</v>
      </c>
      <c r="E135" s="70">
        <v>9860</v>
      </c>
      <c r="F135" s="70" t="s">
        <v>296</v>
      </c>
      <c r="G135" s="70" t="s">
        <v>297</v>
      </c>
      <c r="H135" s="70" t="s">
        <v>86</v>
      </c>
      <c r="I135" s="70">
        <v>9009</v>
      </c>
      <c r="J135" s="71">
        <f>VLOOKUP(C135,'Base ejecuciones Oct-17 (2)'!A125:M620,2,0)</f>
        <v>28</v>
      </c>
      <c r="K135" s="71"/>
      <c r="L135" s="71">
        <f>VLOOKUP(C135,'Base ejecuciones Oct-17 (2)'!A126:M620,4,0)</f>
        <v>5</v>
      </c>
      <c r="M135" s="71"/>
      <c r="N135" s="71"/>
      <c r="O135" s="71"/>
      <c r="P135" s="71"/>
      <c r="Q135" s="71"/>
      <c r="R135" s="71"/>
      <c r="S135" s="71"/>
      <c r="T135" s="71"/>
      <c r="U135" s="71"/>
      <c r="W135"/>
    </row>
    <row r="136" spans="3:23" ht="13.9" customHeight="1">
      <c r="C136" s="69">
        <v>1037577914</v>
      </c>
      <c r="D136" s="70">
        <v>176</v>
      </c>
      <c r="E136" s="70">
        <v>36815</v>
      </c>
      <c r="F136" s="70" t="s">
        <v>298</v>
      </c>
      <c r="G136" s="70" t="s">
        <v>299</v>
      </c>
      <c r="H136" s="70" t="s">
        <v>86</v>
      </c>
      <c r="I136" s="70">
        <v>9007</v>
      </c>
      <c r="J136" s="71">
        <f>VLOOKUP(C136,'Base ejecuciones Oct-17 (2)'!A126:M621,2,0)</f>
        <v>73</v>
      </c>
      <c r="K136" s="71"/>
      <c r="L136" s="71">
        <f>VLOOKUP(C136,'Base ejecuciones Oct-17 (2)'!A127:M621,4,0)</f>
        <v>6</v>
      </c>
      <c r="M136" s="71"/>
      <c r="N136" s="71"/>
      <c r="O136" s="71"/>
      <c r="P136" s="71"/>
      <c r="Q136" s="71"/>
      <c r="R136" s="71"/>
      <c r="S136" s="71"/>
      <c r="T136" s="71"/>
      <c r="U136" s="71"/>
      <c r="W136"/>
    </row>
    <row r="137" spans="3:23" ht="13.9" customHeight="1">
      <c r="C137" s="69">
        <v>22448668</v>
      </c>
      <c r="D137" s="70">
        <v>109</v>
      </c>
      <c r="E137" s="70">
        <v>8301</v>
      </c>
      <c r="F137" s="70" t="s">
        <v>300</v>
      </c>
      <c r="G137" s="70" t="s">
        <v>301</v>
      </c>
      <c r="H137" s="70" t="s">
        <v>86</v>
      </c>
      <c r="I137" s="70">
        <v>9009</v>
      </c>
      <c r="J137" s="71">
        <f>VLOOKUP(C137,'Base ejecuciones Oct-17 (2)'!A127:M622,2,0)</f>
        <v>14</v>
      </c>
      <c r="K137" s="71"/>
      <c r="L137" s="71">
        <f>VLOOKUP(C137,'Base ejecuciones Oct-17 (2)'!A128:M622,4,0)</f>
        <v>2</v>
      </c>
      <c r="M137" s="71"/>
      <c r="N137" s="71"/>
      <c r="O137" s="71"/>
      <c r="P137" s="71"/>
      <c r="Q137" s="71"/>
      <c r="R137" s="71"/>
      <c r="S137" s="71"/>
      <c r="T137" s="71"/>
      <c r="U137" s="71"/>
      <c r="W137"/>
    </row>
    <row r="138" spans="3:23" ht="13.9" customHeight="1">
      <c r="C138" s="69">
        <v>1024502023</v>
      </c>
      <c r="D138" s="70">
        <v>688</v>
      </c>
      <c r="E138" s="70">
        <v>36843</v>
      </c>
      <c r="F138" s="70" t="s">
        <v>253</v>
      </c>
      <c r="G138" s="70" t="s">
        <v>302</v>
      </c>
      <c r="H138" s="70" t="s">
        <v>86</v>
      </c>
      <c r="I138" s="70">
        <v>9004</v>
      </c>
      <c r="J138" s="71">
        <f>VLOOKUP(C138,'Base ejecuciones Oct-17 (2)'!A128:M623,2,0)</f>
        <v>67</v>
      </c>
      <c r="K138" s="71"/>
      <c r="L138" s="71">
        <f>VLOOKUP(C138,'Base ejecuciones Oct-17 (2)'!A129:M623,4,0)</f>
        <v>4</v>
      </c>
      <c r="M138" s="71"/>
      <c r="N138" s="71"/>
      <c r="O138" s="71"/>
      <c r="P138" s="71"/>
      <c r="Q138" s="71"/>
      <c r="R138" s="71"/>
      <c r="S138" s="71"/>
      <c r="T138" s="71"/>
      <c r="U138" s="71"/>
      <c r="W138"/>
    </row>
    <row r="139" spans="3:23" ht="13.9" customHeight="1">
      <c r="C139" s="69">
        <v>1023871661</v>
      </c>
      <c r="D139" s="70">
        <v>27</v>
      </c>
      <c r="E139" s="70">
        <v>37984</v>
      </c>
      <c r="F139" s="70" t="s">
        <v>264</v>
      </c>
      <c r="G139" s="70" t="s">
        <v>303</v>
      </c>
      <c r="H139" s="70" t="s">
        <v>86</v>
      </c>
      <c r="I139" s="70">
        <v>9001</v>
      </c>
      <c r="J139" s="71">
        <f>VLOOKUP(C139,'Base ejecuciones Oct-17 (2)'!A129:M624,2,0)</f>
        <v>34</v>
      </c>
      <c r="K139" s="71"/>
      <c r="L139" s="71">
        <f>VLOOKUP(C139,'Base ejecuciones Oct-17 (2)'!A130:M624,4,0)</f>
        <v>8</v>
      </c>
      <c r="M139" s="71"/>
      <c r="N139" s="71"/>
      <c r="O139" s="71"/>
      <c r="P139" s="71"/>
      <c r="Q139" s="71"/>
      <c r="R139" s="71"/>
      <c r="S139" s="71"/>
      <c r="T139" s="71"/>
      <c r="U139" s="71"/>
      <c r="W139"/>
    </row>
    <row r="140" spans="3:23" ht="13.9" customHeight="1">
      <c r="C140" s="69">
        <v>1140824117</v>
      </c>
      <c r="D140" s="70">
        <v>102</v>
      </c>
      <c r="E140" s="70">
        <v>36138</v>
      </c>
      <c r="F140" s="70" t="s">
        <v>97</v>
      </c>
      <c r="G140" s="70" t="s">
        <v>304</v>
      </c>
      <c r="H140" s="70" t="s">
        <v>86</v>
      </c>
      <c r="I140" s="70">
        <v>9009</v>
      </c>
      <c r="J140" s="71">
        <f>VLOOKUP(C140,'Base ejecuciones Oct-17 (2)'!A130:M625,2,0)</f>
        <v>52</v>
      </c>
      <c r="K140" s="71"/>
      <c r="L140" s="71">
        <f>VLOOKUP(C140,'Base ejecuciones Oct-17 (2)'!A131:M625,4,0)</f>
        <v>12</v>
      </c>
      <c r="M140" s="71"/>
      <c r="N140" s="71"/>
      <c r="O140" s="71"/>
      <c r="P140" s="71"/>
      <c r="Q140" s="71"/>
      <c r="R140" s="71"/>
      <c r="S140" s="71"/>
      <c r="T140" s="71"/>
      <c r="U140" s="71"/>
      <c r="W140"/>
    </row>
    <row r="141" spans="3:23" ht="13.9" customHeight="1">
      <c r="C141" s="69">
        <v>1030666605</v>
      </c>
      <c r="D141" s="70">
        <v>14</v>
      </c>
      <c r="E141" s="70">
        <v>9901</v>
      </c>
      <c r="F141" s="70" t="s">
        <v>305</v>
      </c>
      <c r="G141" s="70" t="s">
        <v>306</v>
      </c>
      <c r="H141" s="70" t="s">
        <v>86</v>
      </c>
      <c r="I141" s="70">
        <v>9003</v>
      </c>
      <c r="J141" s="71">
        <f>VLOOKUP(C141,'Base ejecuciones Oct-17 (2)'!A131:M626,2,0)</f>
        <v>100</v>
      </c>
      <c r="K141" s="71"/>
      <c r="L141" s="71">
        <f>VLOOKUP(C141,'Base ejecuciones Oct-17 (2)'!A132:M626,4,0)</f>
        <v>7</v>
      </c>
      <c r="M141" s="71"/>
      <c r="N141" s="71"/>
      <c r="O141" s="71"/>
      <c r="P141" s="71"/>
      <c r="Q141" s="71"/>
      <c r="R141" s="71"/>
      <c r="S141" s="71"/>
      <c r="T141" s="71"/>
      <c r="U141" s="71"/>
      <c r="W141"/>
    </row>
    <row r="142" spans="3:23" ht="13.9" customHeight="1">
      <c r="C142" s="69">
        <v>1140868919</v>
      </c>
      <c r="D142" s="70">
        <v>935</v>
      </c>
      <c r="E142" s="70">
        <v>38759</v>
      </c>
      <c r="F142" s="70" t="s">
        <v>307</v>
      </c>
      <c r="G142" s="70" t="s">
        <v>308</v>
      </c>
      <c r="H142" s="70" t="s">
        <v>86</v>
      </c>
      <c r="I142" s="70">
        <v>9009</v>
      </c>
      <c r="J142" s="71">
        <f>VLOOKUP(C142,'Base ejecuciones Oct-17 (2)'!A132:M627,2,0)</f>
        <v>69</v>
      </c>
      <c r="K142" s="71"/>
      <c r="L142" s="71">
        <f>VLOOKUP(C142,'Base ejecuciones Oct-17 (2)'!A133:M627,4,0)</f>
        <v>9</v>
      </c>
      <c r="M142" s="71"/>
      <c r="N142" s="71"/>
      <c r="O142" s="71"/>
      <c r="P142" s="71"/>
      <c r="Q142" s="71"/>
      <c r="R142" s="71"/>
      <c r="S142" s="71"/>
      <c r="T142" s="71"/>
      <c r="U142" s="71"/>
      <c r="W142"/>
    </row>
    <row r="143" spans="3:23" ht="13.9" customHeight="1">
      <c r="C143" s="69">
        <v>51835123</v>
      </c>
      <c r="D143" s="70">
        <v>9</v>
      </c>
      <c r="E143" s="70">
        <v>8111</v>
      </c>
      <c r="F143" s="70" t="s">
        <v>309</v>
      </c>
      <c r="G143" s="70" t="s">
        <v>310</v>
      </c>
      <c r="H143" s="70" t="s">
        <v>86</v>
      </c>
      <c r="I143" s="70">
        <v>9002</v>
      </c>
      <c r="J143" s="71">
        <f>VLOOKUP(C143,'Base ejecuciones Oct-17 (2)'!A133:M628,2,0)</f>
        <v>27</v>
      </c>
      <c r="K143" s="71"/>
      <c r="L143" s="71">
        <f>VLOOKUP(C143,'Base ejecuciones Oct-17 (2)'!A134:M628,4,0)</f>
        <v>4</v>
      </c>
      <c r="M143" s="71"/>
      <c r="N143" s="71"/>
      <c r="O143" s="71"/>
      <c r="P143" s="71"/>
      <c r="Q143" s="71"/>
      <c r="R143" s="71"/>
      <c r="S143" s="71"/>
      <c r="T143" s="71"/>
      <c r="U143" s="71"/>
      <c r="W143"/>
    </row>
    <row r="144" spans="3:23" ht="13.9" customHeight="1">
      <c r="C144" s="69">
        <v>1081813294</v>
      </c>
      <c r="D144" s="70">
        <v>717</v>
      </c>
      <c r="E144" s="70">
        <v>36530</v>
      </c>
      <c r="F144" s="70" t="s">
        <v>311</v>
      </c>
      <c r="G144" s="70" t="s">
        <v>312</v>
      </c>
      <c r="H144" s="70" t="s">
        <v>86</v>
      </c>
      <c r="I144" s="70">
        <v>9009</v>
      </c>
      <c r="J144" s="71">
        <f>VLOOKUP(C144,'Base ejecuciones Oct-17 (2)'!A134:M629,2,0)</f>
        <v>79</v>
      </c>
      <c r="K144" s="71"/>
      <c r="L144" s="71">
        <f>VLOOKUP(C144,'Base ejecuciones Oct-17 (2)'!A135:M629,4,0)</f>
        <v>17</v>
      </c>
      <c r="M144" s="71"/>
      <c r="N144" s="71"/>
      <c r="O144" s="71"/>
      <c r="P144" s="71"/>
      <c r="Q144" s="71"/>
      <c r="R144" s="71"/>
      <c r="S144" s="71"/>
      <c r="T144" s="71"/>
      <c r="U144" s="71"/>
      <c r="W144"/>
    </row>
    <row r="145" spans="3:23" ht="13.9" customHeight="1">
      <c r="C145" s="69">
        <v>79685961</v>
      </c>
      <c r="D145" s="70">
        <v>13</v>
      </c>
      <c r="E145" s="70">
        <v>9233</v>
      </c>
      <c r="F145" s="70" t="s">
        <v>119</v>
      </c>
      <c r="G145" s="70" t="s">
        <v>313</v>
      </c>
      <c r="H145" s="70" t="s">
        <v>86</v>
      </c>
      <c r="I145" s="70">
        <v>9002</v>
      </c>
      <c r="J145" s="71">
        <f>VLOOKUP(C145,'Base ejecuciones Oct-17 (2)'!A135:M630,2,0)</f>
        <v>77</v>
      </c>
      <c r="K145" s="71"/>
      <c r="L145" s="71">
        <f>VLOOKUP(C145,'Base ejecuciones Oct-17 (2)'!A136:M630,4,0)</f>
        <v>12</v>
      </c>
      <c r="M145" s="71"/>
      <c r="N145" s="71"/>
      <c r="O145" s="71"/>
      <c r="P145" s="71"/>
      <c r="Q145" s="71"/>
      <c r="R145" s="71"/>
      <c r="S145" s="71"/>
      <c r="T145" s="71"/>
      <c r="U145" s="71"/>
      <c r="W145"/>
    </row>
    <row r="146" spans="3:23" ht="13.9" customHeight="1">
      <c r="C146" s="69">
        <v>1113648445</v>
      </c>
      <c r="D146" s="70">
        <v>158</v>
      </c>
      <c r="E146" s="70">
        <v>38815</v>
      </c>
      <c r="F146" s="70" t="s">
        <v>314</v>
      </c>
      <c r="G146" s="70" t="s">
        <v>315</v>
      </c>
      <c r="H146" s="70" t="s">
        <v>86</v>
      </c>
      <c r="I146" s="70">
        <v>9006</v>
      </c>
      <c r="J146" s="71">
        <f>VLOOKUP(C146,'Base ejecuciones Oct-17 (2)'!A136:M631,2,0)</f>
        <v>38</v>
      </c>
      <c r="K146" s="71"/>
      <c r="L146" s="71">
        <f>VLOOKUP(C146,'Base ejecuciones Oct-17 (2)'!A137:M631,4,0)</f>
        <v>9</v>
      </c>
      <c r="M146" s="71"/>
      <c r="N146" s="71"/>
      <c r="O146" s="71"/>
      <c r="P146" s="71"/>
      <c r="Q146" s="71"/>
      <c r="R146" s="71"/>
      <c r="S146" s="71"/>
      <c r="T146" s="71"/>
      <c r="U146" s="71"/>
      <c r="W146"/>
    </row>
    <row r="147" spans="3:23" ht="13.9" customHeight="1">
      <c r="C147" s="69">
        <v>1017139629</v>
      </c>
      <c r="D147" s="70">
        <v>432</v>
      </c>
      <c r="E147" s="70">
        <v>31382</v>
      </c>
      <c r="F147" s="70" t="s">
        <v>316</v>
      </c>
      <c r="G147" s="70" t="s">
        <v>317</v>
      </c>
      <c r="H147" s="70" t="s">
        <v>86</v>
      </c>
      <c r="I147" s="70">
        <v>9001</v>
      </c>
      <c r="J147" s="71">
        <f>VLOOKUP(C147,'Base ejecuciones Oct-17 (2)'!A137:M632,2,0)</f>
        <v>117</v>
      </c>
      <c r="K147" s="71"/>
      <c r="L147" s="71">
        <f>VLOOKUP(C147,'Base ejecuciones Oct-17 (2)'!A138:M632,4,0)</f>
        <v>6</v>
      </c>
      <c r="M147" s="71"/>
      <c r="N147" s="71"/>
      <c r="O147" s="71"/>
      <c r="P147" s="71"/>
      <c r="Q147" s="71"/>
      <c r="R147" s="71"/>
      <c r="S147" s="71"/>
      <c r="T147" s="71"/>
      <c r="U147" s="71"/>
      <c r="W147"/>
    </row>
    <row r="148" spans="3:23" ht="13.9" customHeight="1">
      <c r="C148" s="69">
        <v>37321869</v>
      </c>
      <c r="D148" s="70">
        <v>109</v>
      </c>
      <c r="E148" s="70">
        <v>8308</v>
      </c>
      <c r="F148" s="70" t="s">
        <v>300</v>
      </c>
      <c r="G148" s="70" t="s">
        <v>318</v>
      </c>
      <c r="H148" s="70" t="s">
        <v>86</v>
      </c>
      <c r="I148" s="70">
        <v>9009</v>
      </c>
      <c r="J148" s="71">
        <f>VLOOKUP(C148,'Base ejecuciones Oct-17 (2)'!A138:M633,2,0)</f>
        <v>44</v>
      </c>
      <c r="K148" s="71"/>
      <c r="L148" s="71">
        <f>VLOOKUP(C148,'Base ejecuciones Oct-17 (2)'!A139:M633,4,0)</f>
        <v>4</v>
      </c>
      <c r="M148" s="71"/>
      <c r="N148" s="71"/>
      <c r="O148" s="71"/>
      <c r="P148" s="71"/>
      <c r="Q148" s="71"/>
      <c r="R148" s="71"/>
      <c r="S148" s="71"/>
      <c r="T148" s="71"/>
      <c r="U148" s="71"/>
      <c r="W148"/>
    </row>
    <row r="149" spans="3:23" ht="13.9" customHeight="1">
      <c r="C149" s="69">
        <v>1152187419</v>
      </c>
      <c r="D149" s="70">
        <v>789</v>
      </c>
      <c r="E149" s="70">
        <v>36308</v>
      </c>
      <c r="F149" s="70" t="s">
        <v>319</v>
      </c>
      <c r="G149" s="70" t="s">
        <v>320</v>
      </c>
      <c r="H149" s="70" t="s">
        <v>86</v>
      </c>
      <c r="I149" s="70">
        <v>9007</v>
      </c>
      <c r="J149" s="71">
        <f>VLOOKUP(C149,'Base ejecuciones Oct-17 (2)'!A139:M634,2,0)</f>
        <v>44</v>
      </c>
      <c r="K149" s="71"/>
      <c r="L149" s="71">
        <f>VLOOKUP(C149,'Base ejecuciones Oct-17 (2)'!A140:M634,4,0)</f>
        <v>9</v>
      </c>
      <c r="M149" s="71"/>
      <c r="N149" s="71"/>
      <c r="O149" s="71"/>
      <c r="P149" s="71"/>
      <c r="Q149" s="71"/>
      <c r="R149" s="71"/>
      <c r="S149" s="71"/>
      <c r="T149" s="71"/>
      <c r="U149" s="71"/>
      <c r="W149"/>
    </row>
    <row r="150" spans="3:23" ht="13.9" customHeight="1">
      <c r="C150" s="69">
        <v>1045666213</v>
      </c>
      <c r="D150" s="70">
        <v>204</v>
      </c>
      <c r="E150" s="70">
        <v>9606</v>
      </c>
      <c r="F150" s="70" t="s">
        <v>130</v>
      </c>
      <c r="G150" s="70" t="s">
        <v>321</v>
      </c>
      <c r="H150" s="70" t="s">
        <v>86</v>
      </c>
      <c r="I150" s="70">
        <v>9005</v>
      </c>
      <c r="J150" s="71">
        <f>VLOOKUP(C150,'Base ejecuciones Oct-17 (2)'!A140:M635,2,0)</f>
        <v>26</v>
      </c>
      <c r="K150" s="71"/>
      <c r="L150" s="71">
        <f>VLOOKUP(C150,'Base ejecuciones Oct-17 (2)'!A141:M635,4,0)</f>
        <v>2</v>
      </c>
      <c r="M150" s="71"/>
      <c r="N150" s="71"/>
      <c r="O150" s="71"/>
      <c r="P150" s="71"/>
      <c r="Q150" s="71"/>
      <c r="R150" s="71"/>
      <c r="S150" s="71"/>
      <c r="T150" s="71"/>
      <c r="U150" s="71"/>
      <c r="W150"/>
    </row>
    <row r="151" spans="3:23" ht="13.9" customHeight="1">
      <c r="C151" s="69">
        <v>51793150</v>
      </c>
      <c r="D151" s="70">
        <v>958</v>
      </c>
      <c r="E151" s="70">
        <v>8149</v>
      </c>
      <c r="F151" s="70" t="s">
        <v>322</v>
      </c>
      <c r="G151" s="70" t="s">
        <v>323</v>
      </c>
      <c r="H151" s="70" t="s">
        <v>86</v>
      </c>
      <c r="I151" s="70">
        <v>9003</v>
      </c>
      <c r="J151" s="71">
        <f>VLOOKUP(C151,'Base ejecuciones Oct-17 (2)'!A141:M636,2,0)</f>
        <v>98</v>
      </c>
      <c r="K151" s="71"/>
      <c r="L151" s="71">
        <f>VLOOKUP(C151,'Base ejecuciones Oct-17 (2)'!A142:M636,4,0)</f>
        <v>6</v>
      </c>
      <c r="M151" s="71"/>
      <c r="N151" s="71"/>
      <c r="O151" s="71"/>
      <c r="P151" s="71"/>
      <c r="Q151" s="71"/>
      <c r="R151" s="71"/>
      <c r="S151" s="71"/>
      <c r="T151" s="71"/>
      <c r="U151" s="71"/>
      <c r="W151"/>
    </row>
    <row r="152" spans="3:23" ht="13.9" customHeight="1">
      <c r="C152" s="69">
        <v>1031171573</v>
      </c>
      <c r="D152" s="70">
        <v>9</v>
      </c>
      <c r="E152" s="70">
        <v>37095</v>
      </c>
      <c r="F152" s="70" t="s">
        <v>309</v>
      </c>
      <c r="G152" s="70" t="s">
        <v>324</v>
      </c>
      <c r="H152" s="70" t="s">
        <v>86</v>
      </c>
      <c r="I152" s="70">
        <v>9002</v>
      </c>
      <c r="J152" s="71">
        <f>VLOOKUP(C152,'Base ejecuciones Oct-17 (2)'!A142:M637,2,0)</f>
        <v>46</v>
      </c>
      <c r="K152" s="71"/>
      <c r="L152" s="71">
        <f>VLOOKUP(C152,'Base ejecuciones Oct-17 (2)'!A143:M637,4,0)</f>
        <v>9</v>
      </c>
      <c r="M152" s="71"/>
      <c r="N152" s="71"/>
      <c r="O152" s="71"/>
      <c r="P152" s="71"/>
      <c r="Q152" s="71"/>
      <c r="R152" s="71"/>
      <c r="S152" s="71"/>
      <c r="T152" s="71"/>
      <c r="U152" s="71"/>
      <c r="W152"/>
    </row>
    <row r="153" spans="3:23" ht="13.9" customHeight="1">
      <c r="C153" s="69">
        <v>1013581339</v>
      </c>
      <c r="D153" s="70">
        <v>432</v>
      </c>
      <c r="E153" s="70">
        <v>37596</v>
      </c>
      <c r="F153" s="70" t="s">
        <v>316</v>
      </c>
      <c r="G153" s="70" t="s">
        <v>325</v>
      </c>
      <c r="H153" s="70" t="s">
        <v>86</v>
      </c>
      <c r="I153" s="70">
        <v>9001</v>
      </c>
      <c r="J153" s="71">
        <f>VLOOKUP(C153,'Base ejecuciones Oct-17 (2)'!A143:M638,2,0)</f>
        <v>48</v>
      </c>
      <c r="K153" s="71"/>
      <c r="L153" s="71">
        <f>VLOOKUP(C153,'Base ejecuciones Oct-17 (2)'!A144:M638,4,0)</f>
        <v>3</v>
      </c>
      <c r="M153" s="71"/>
      <c r="N153" s="71"/>
      <c r="O153" s="71"/>
      <c r="P153" s="71"/>
      <c r="Q153" s="71"/>
      <c r="R153" s="71"/>
      <c r="S153" s="71"/>
      <c r="T153" s="71"/>
      <c r="U153" s="71"/>
      <c r="W153"/>
    </row>
    <row r="154" spans="3:23" ht="13.9" customHeight="1">
      <c r="C154" s="69">
        <v>1012353112</v>
      </c>
      <c r="D154" s="70">
        <v>51</v>
      </c>
      <c r="E154" s="70">
        <v>38233</v>
      </c>
      <c r="F154" s="70" t="s">
        <v>326</v>
      </c>
      <c r="G154" s="70" t="s">
        <v>327</v>
      </c>
      <c r="H154" s="70" t="s">
        <v>116</v>
      </c>
      <c r="I154" s="70">
        <v>9002</v>
      </c>
      <c r="J154" s="71">
        <f>VLOOKUP(C154,'Base ejecuciones Oct-17 (2)'!A144:M639,2,0)</f>
        <v>45</v>
      </c>
      <c r="K154" s="71"/>
      <c r="L154" s="71">
        <f>VLOOKUP(C154,'Base ejecuciones Oct-17 (2)'!A145:M639,4,0)</f>
        <v>5</v>
      </c>
      <c r="M154" s="71"/>
      <c r="N154" s="71"/>
      <c r="O154" s="71"/>
      <c r="P154" s="71"/>
      <c r="Q154" s="71"/>
      <c r="R154" s="71"/>
      <c r="S154" s="71"/>
      <c r="T154" s="71"/>
      <c r="U154" s="71"/>
      <c r="W154"/>
    </row>
    <row r="155" spans="3:23" ht="13.9" customHeight="1">
      <c r="C155" s="69">
        <v>1012389944</v>
      </c>
      <c r="D155" s="70">
        <v>923</v>
      </c>
      <c r="E155" s="70">
        <v>35993</v>
      </c>
      <c r="F155" s="70" t="s">
        <v>328</v>
      </c>
      <c r="G155" s="70" t="s">
        <v>329</v>
      </c>
      <c r="H155" s="70" t="s">
        <v>116</v>
      </c>
      <c r="I155" s="70">
        <v>9004</v>
      </c>
      <c r="J155" s="71">
        <f>VLOOKUP(C155,'Base ejecuciones Oct-17 (2)'!A145:M640,2,0)</f>
        <v>94</v>
      </c>
      <c r="K155" s="71"/>
      <c r="L155" s="71">
        <f>VLOOKUP(C155,'Base ejecuciones Oct-17 (2)'!A146:M640,4,0)</f>
        <v>10</v>
      </c>
      <c r="M155" s="71"/>
      <c r="N155" s="71"/>
      <c r="O155" s="71"/>
      <c r="P155" s="71"/>
      <c r="Q155" s="71"/>
      <c r="R155" s="71"/>
      <c r="S155" s="71"/>
      <c r="T155" s="71"/>
      <c r="U155" s="71"/>
      <c r="W155"/>
    </row>
    <row r="156" spans="3:23" ht="13.9" customHeight="1">
      <c r="C156" s="69">
        <v>43187286</v>
      </c>
      <c r="D156" s="70">
        <v>188</v>
      </c>
      <c r="E156" s="70">
        <v>9257</v>
      </c>
      <c r="F156" s="70" t="s">
        <v>273</v>
      </c>
      <c r="G156" s="70" t="s">
        <v>330</v>
      </c>
      <c r="H156" s="70" t="s">
        <v>86</v>
      </c>
      <c r="I156" s="70">
        <v>9007</v>
      </c>
      <c r="J156" s="71">
        <f>VLOOKUP(C156,'Base ejecuciones Oct-17 (2)'!A146:M641,2,0)</f>
        <v>36</v>
      </c>
      <c r="K156" s="71"/>
      <c r="L156" s="71">
        <f>VLOOKUP(C156,'Base ejecuciones Oct-17 (2)'!A147:M641,4,0)</f>
        <v>2</v>
      </c>
      <c r="M156" s="71"/>
      <c r="N156" s="71"/>
      <c r="O156" s="71"/>
      <c r="P156" s="71"/>
      <c r="Q156" s="71"/>
      <c r="R156" s="71"/>
      <c r="S156" s="71"/>
      <c r="T156" s="71"/>
      <c r="U156" s="71"/>
      <c r="W156"/>
    </row>
    <row r="157" spans="3:23" ht="13.9" customHeight="1">
      <c r="C157" s="69">
        <v>1018495960</v>
      </c>
      <c r="D157" s="70">
        <v>64</v>
      </c>
      <c r="E157" s="70">
        <v>37244</v>
      </c>
      <c r="F157" s="70" t="s">
        <v>331</v>
      </c>
      <c r="G157" s="70" t="s">
        <v>332</v>
      </c>
      <c r="H157" s="70" t="s">
        <v>116</v>
      </c>
      <c r="I157" s="70">
        <v>9004</v>
      </c>
      <c r="J157" s="71">
        <f>VLOOKUP(C157,'Base ejecuciones Oct-17 (2)'!A147:M642,2,0)</f>
        <v>82</v>
      </c>
      <c r="K157" s="71"/>
      <c r="L157" s="71">
        <f>VLOOKUP(C157,'Base ejecuciones Oct-17 (2)'!A148:M642,4,0)</f>
        <v>13</v>
      </c>
      <c r="M157" s="71"/>
      <c r="N157" s="71"/>
      <c r="O157" s="71"/>
      <c r="P157" s="71"/>
      <c r="Q157" s="71"/>
      <c r="R157" s="71"/>
      <c r="S157" s="71"/>
      <c r="T157" s="71"/>
      <c r="U157" s="71"/>
      <c r="W157"/>
    </row>
    <row r="158" spans="3:23" ht="13.9" customHeight="1">
      <c r="C158" s="69">
        <v>32743416</v>
      </c>
      <c r="D158" s="70">
        <v>893</v>
      </c>
      <c r="E158" s="70">
        <v>8311</v>
      </c>
      <c r="F158" s="70" t="s">
        <v>333</v>
      </c>
      <c r="G158" s="70" t="s">
        <v>334</v>
      </c>
      <c r="H158" s="70" t="s">
        <v>86</v>
      </c>
      <c r="I158" s="70">
        <v>9009</v>
      </c>
      <c r="J158" s="71">
        <f>VLOOKUP(C158,'Base ejecuciones Oct-17 (2)'!A148:M643,2,0)</f>
        <v>67</v>
      </c>
      <c r="K158" s="71"/>
      <c r="L158" s="71">
        <f>VLOOKUP(C158,'Base ejecuciones Oct-17 (2)'!A149:M643,4,0)</f>
        <v>11</v>
      </c>
      <c r="M158" s="71"/>
      <c r="N158" s="71"/>
      <c r="O158" s="71"/>
      <c r="P158" s="71"/>
      <c r="Q158" s="71"/>
      <c r="R158" s="71"/>
      <c r="S158" s="71"/>
      <c r="T158" s="71"/>
      <c r="U158" s="71"/>
      <c r="W158"/>
    </row>
    <row r="159" spans="3:23" ht="13.9" customHeight="1">
      <c r="C159" s="69">
        <v>1030671677</v>
      </c>
      <c r="D159" s="70">
        <v>12</v>
      </c>
      <c r="E159" s="70">
        <v>37074</v>
      </c>
      <c r="F159" s="70" t="s">
        <v>84</v>
      </c>
      <c r="G159" s="70" t="s">
        <v>335</v>
      </c>
      <c r="H159" s="70" t="s">
        <v>116</v>
      </c>
      <c r="I159" s="70">
        <v>9002</v>
      </c>
      <c r="J159" s="71">
        <f>VLOOKUP(C159,'Base ejecuciones Oct-17 (2)'!A149:M644,2,0)</f>
        <v>66</v>
      </c>
      <c r="K159" s="71"/>
      <c r="L159" s="71">
        <f>VLOOKUP(C159,'Base ejecuciones Oct-17 (2)'!A150:M644,4,0)</f>
        <v>5</v>
      </c>
      <c r="M159" s="71"/>
      <c r="N159" s="71"/>
      <c r="O159" s="71"/>
      <c r="P159" s="71"/>
      <c r="Q159" s="71"/>
      <c r="R159" s="71"/>
      <c r="S159" s="71"/>
      <c r="T159" s="71"/>
      <c r="U159" s="71"/>
      <c r="W159"/>
    </row>
    <row r="160" spans="3:23" ht="13.9" customHeight="1">
      <c r="C160" s="69">
        <v>1022361478</v>
      </c>
      <c r="D160" s="70">
        <v>71</v>
      </c>
      <c r="E160" s="70">
        <v>38062</v>
      </c>
      <c r="F160" s="70" t="s">
        <v>336</v>
      </c>
      <c r="G160" s="70" t="s">
        <v>337</v>
      </c>
      <c r="H160" s="70" t="s">
        <v>86</v>
      </c>
      <c r="I160" s="70">
        <v>9004</v>
      </c>
      <c r="J160" s="71">
        <f>VLOOKUP(C160,'Base ejecuciones Oct-17 (2)'!A150:M645,2,0)</f>
        <v>80</v>
      </c>
      <c r="K160" s="71"/>
      <c r="L160" s="71">
        <f>VLOOKUP(C160,'Base ejecuciones Oct-17 (2)'!A151:M645,4,0)</f>
        <v>12</v>
      </c>
      <c r="M160" s="71"/>
      <c r="N160" s="71"/>
      <c r="O160" s="71"/>
      <c r="P160" s="71"/>
      <c r="Q160" s="71"/>
      <c r="R160" s="71"/>
      <c r="S160" s="71"/>
      <c r="T160" s="71"/>
      <c r="U160" s="71"/>
      <c r="W160"/>
    </row>
    <row r="161" spans="3:23" ht="13.9" customHeight="1">
      <c r="C161" s="69">
        <v>1121873295</v>
      </c>
      <c r="D161" s="70">
        <v>94</v>
      </c>
      <c r="E161" s="70">
        <v>9417</v>
      </c>
      <c r="F161" s="70" t="s">
        <v>117</v>
      </c>
      <c r="G161" s="70" t="s">
        <v>338</v>
      </c>
      <c r="H161" s="70" t="s">
        <v>86</v>
      </c>
      <c r="I161" s="70">
        <v>9008</v>
      </c>
      <c r="J161" s="71">
        <f>VLOOKUP(C161,'Base ejecuciones Oct-17 (2)'!A151:M646,2,0)</f>
        <v>80</v>
      </c>
      <c r="K161" s="71"/>
      <c r="L161" s="71">
        <f>VLOOKUP(C161,'Base ejecuciones Oct-17 (2)'!A152:M646,4,0)</f>
        <v>6</v>
      </c>
      <c r="M161" s="71"/>
      <c r="N161" s="71"/>
      <c r="O161" s="71"/>
      <c r="P161" s="71"/>
      <c r="Q161" s="71"/>
      <c r="R161" s="71"/>
      <c r="S161" s="71"/>
      <c r="T161" s="71"/>
      <c r="U161" s="71"/>
      <c r="W161"/>
    </row>
    <row r="162" spans="3:23" ht="13.9" customHeight="1">
      <c r="C162" s="69">
        <v>38656544</v>
      </c>
      <c r="D162" s="70">
        <v>595</v>
      </c>
      <c r="E162" s="70">
        <v>37980</v>
      </c>
      <c r="F162" s="70" t="s">
        <v>262</v>
      </c>
      <c r="G162" s="70" t="s">
        <v>339</v>
      </c>
      <c r="H162" s="70" t="s">
        <v>86</v>
      </c>
      <c r="I162" s="70">
        <v>9006</v>
      </c>
      <c r="J162" s="71">
        <f>VLOOKUP(C162,'Base ejecuciones Oct-17 (2)'!A152:M647,2,0)</f>
        <v>58</v>
      </c>
      <c r="K162" s="71"/>
      <c r="L162" s="71">
        <f>VLOOKUP(C162,'Base ejecuciones Oct-17 (2)'!A153:M647,4,0)</f>
        <v>5</v>
      </c>
      <c r="M162" s="71"/>
      <c r="N162" s="71"/>
      <c r="O162" s="71"/>
      <c r="P162" s="71"/>
      <c r="Q162" s="71"/>
      <c r="R162" s="71"/>
      <c r="S162" s="71"/>
      <c r="T162" s="71"/>
      <c r="U162" s="71"/>
      <c r="W162"/>
    </row>
    <row r="163" spans="3:23" ht="13.9" customHeight="1">
      <c r="C163" s="69">
        <v>53053512</v>
      </c>
      <c r="D163" s="70">
        <v>64</v>
      </c>
      <c r="E163" s="70">
        <v>30905</v>
      </c>
      <c r="F163" s="70" t="s">
        <v>331</v>
      </c>
      <c r="G163" s="70" t="s">
        <v>340</v>
      </c>
      <c r="H163" s="70" t="s">
        <v>86</v>
      </c>
      <c r="I163" s="70">
        <v>9004</v>
      </c>
      <c r="J163" s="71">
        <f>VLOOKUP(C163,'Base ejecuciones Oct-17 (2)'!A153:M648,2,0)</f>
        <v>0</v>
      </c>
      <c r="K163" s="71"/>
      <c r="L163" s="71">
        <f>VLOOKUP(C163,'Base ejecuciones Oct-17 (2)'!A154:M648,4,0)</f>
        <v>0</v>
      </c>
      <c r="M163" s="71"/>
      <c r="N163" s="71"/>
      <c r="O163" s="71"/>
      <c r="P163" s="71"/>
      <c r="Q163" s="71"/>
      <c r="R163" s="71"/>
      <c r="S163" s="71"/>
      <c r="T163" s="71"/>
      <c r="U163" s="71"/>
      <c r="W163"/>
    </row>
    <row r="164" spans="3:23" ht="13.9" customHeight="1">
      <c r="C164" s="69">
        <v>1031165003</v>
      </c>
      <c r="D164" s="70">
        <v>58</v>
      </c>
      <c r="E164" s="70">
        <v>36407</v>
      </c>
      <c r="F164" s="70" t="s">
        <v>341</v>
      </c>
      <c r="G164" s="70" t="s">
        <v>342</v>
      </c>
      <c r="H164" s="70" t="s">
        <v>86</v>
      </c>
      <c r="I164" s="70">
        <v>9003</v>
      </c>
      <c r="J164" s="71">
        <f>VLOOKUP(C164,'Base ejecuciones Oct-17 (2)'!A154:M649,2,0)</f>
        <v>51</v>
      </c>
      <c r="K164" s="71"/>
      <c r="L164" s="71">
        <f>VLOOKUP(C164,'Base ejecuciones Oct-17 (2)'!A155:M649,4,0)</f>
        <v>5</v>
      </c>
      <c r="M164" s="71"/>
      <c r="N164" s="71"/>
      <c r="O164" s="71"/>
      <c r="P164" s="71"/>
      <c r="Q164" s="71"/>
      <c r="R164" s="71"/>
      <c r="S164" s="71"/>
      <c r="T164" s="71"/>
      <c r="U164" s="71"/>
      <c r="W164"/>
    </row>
    <row r="165" spans="3:23" ht="13.9" customHeight="1">
      <c r="C165" s="69">
        <v>32728324</v>
      </c>
      <c r="D165" s="70">
        <v>714</v>
      </c>
      <c r="E165" s="70">
        <v>8307</v>
      </c>
      <c r="F165" s="70" t="s">
        <v>343</v>
      </c>
      <c r="G165" s="70" t="s">
        <v>344</v>
      </c>
      <c r="H165" s="70" t="s">
        <v>86</v>
      </c>
      <c r="I165" s="70">
        <v>9009</v>
      </c>
      <c r="J165" s="71">
        <f>VLOOKUP(C165,'Base ejecuciones Oct-17 (2)'!A155:M650,2,0)</f>
        <v>218</v>
      </c>
      <c r="K165" s="71"/>
      <c r="L165" s="71">
        <f>VLOOKUP(C165,'Base ejecuciones Oct-17 (2)'!A156:M650,4,0)</f>
        <v>12</v>
      </c>
      <c r="M165" s="71"/>
      <c r="N165" s="71"/>
      <c r="O165" s="71"/>
      <c r="P165" s="71"/>
      <c r="Q165" s="71"/>
      <c r="R165" s="71"/>
      <c r="S165" s="71"/>
      <c r="T165" s="71"/>
      <c r="U165" s="71"/>
      <c r="W165"/>
    </row>
    <row r="166" spans="3:23" ht="13.9" customHeight="1">
      <c r="C166" s="69">
        <v>1019078302</v>
      </c>
      <c r="D166" s="70">
        <v>24</v>
      </c>
      <c r="E166" s="70">
        <v>38238</v>
      </c>
      <c r="F166" s="70" t="s">
        <v>345</v>
      </c>
      <c r="G166" s="70" t="s">
        <v>346</v>
      </c>
      <c r="H166" s="70" t="s">
        <v>86</v>
      </c>
      <c r="I166" s="70">
        <v>9001</v>
      </c>
      <c r="J166" s="71">
        <f>VLOOKUP(C166,'Base ejecuciones Oct-17 (2)'!A156:M651,2,0)</f>
        <v>42</v>
      </c>
      <c r="K166" s="71"/>
      <c r="L166" s="71">
        <f>VLOOKUP(C166,'Base ejecuciones Oct-17 (2)'!A157:M651,4,0)</f>
        <v>11</v>
      </c>
      <c r="M166" s="71"/>
      <c r="N166" s="71"/>
      <c r="O166" s="71"/>
      <c r="P166" s="71"/>
      <c r="Q166" s="71"/>
      <c r="R166" s="71"/>
      <c r="S166" s="71"/>
      <c r="T166" s="71"/>
      <c r="U166" s="71"/>
      <c r="W166"/>
    </row>
    <row r="167" spans="3:23" ht="13.9" customHeight="1">
      <c r="C167" s="69">
        <v>1053814651</v>
      </c>
      <c r="D167" s="70">
        <v>219</v>
      </c>
      <c r="E167" s="70">
        <v>9290</v>
      </c>
      <c r="F167" s="70" t="s">
        <v>291</v>
      </c>
      <c r="G167" s="70" t="s">
        <v>347</v>
      </c>
      <c r="H167" s="70" t="s">
        <v>86</v>
      </c>
      <c r="I167" s="70">
        <v>9005</v>
      </c>
      <c r="J167" s="71">
        <f>VLOOKUP(C167,'Base ejecuciones Oct-17 (2)'!A157:M652,2,0)</f>
        <v>74</v>
      </c>
      <c r="K167" s="71"/>
      <c r="L167" s="71">
        <f>VLOOKUP(C167,'Base ejecuciones Oct-17 (2)'!A158:M652,4,0)</f>
        <v>17</v>
      </c>
      <c r="M167" s="71"/>
      <c r="N167" s="71"/>
      <c r="O167" s="71"/>
      <c r="P167" s="71"/>
      <c r="Q167" s="71"/>
      <c r="R167" s="71"/>
      <c r="S167" s="71"/>
      <c r="T167" s="71"/>
      <c r="U167" s="71"/>
      <c r="W167"/>
    </row>
    <row r="168" spans="3:23" ht="13.9" customHeight="1">
      <c r="C168" s="69">
        <v>1000774106</v>
      </c>
      <c r="D168" s="70">
        <v>66</v>
      </c>
      <c r="E168" s="70">
        <v>36399</v>
      </c>
      <c r="F168" s="70" t="s">
        <v>348</v>
      </c>
      <c r="G168" s="70" t="s">
        <v>349</v>
      </c>
      <c r="H168" s="70" t="s">
        <v>86</v>
      </c>
      <c r="I168" s="70">
        <v>9004</v>
      </c>
      <c r="J168" s="71">
        <f>VLOOKUP(C168,'Base ejecuciones Oct-17 (2)'!A158:M653,2,0)</f>
        <v>77</v>
      </c>
      <c r="K168" s="71"/>
      <c r="L168" s="71">
        <f>VLOOKUP(C168,'Base ejecuciones Oct-17 (2)'!A159:M653,4,0)</f>
        <v>8</v>
      </c>
      <c r="M168" s="71"/>
      <c r="N168" s="71"/>
      <c r="O168" s="71"/>
      <c r="P168" s="71"/>
      <c r="Q168" s="71"/>
      <c r="R168" s="71"/>
      <c r="S168" s="71"/>
      <c r="T168" s="71"/>
      <c r="U168" s="71"/>
      <c r="W168"/>
    </row>
    <row r="169" spans="3:23" ht="13.9" customHeight="1">
      <c r="C169" s="69">
        <v>1023012625</v>
      </c>
      <c r="D169" s="70">
        <v>75</v>
      </c>
      <c r="E169" s="70">
        <v>38066</v>
      </c>
      <c r="F169" s="70" t="s">
        <v>271</v>
      </c>
      <c r="G169" s="70" t="s">
        <v>350</v>
      </c>
      <c r="H169" s="70" t="s">
        <v>86</v>
      </c>
      <c r="I169" s="70">
        <v>9004</v>
      </c>
      <c r="J169" s="71">
        <f>VLOOKUP(C169,'Base ejecuciones Oct-17 (2)'!A159:M654,2,0)</f>
        <v>82</v>
      </c>
      <c r="K169" s="71"/>
      <c r="L169" s="71">
        <f>VLOOKUP(C169,'Base ejecuciones Oct-17 (2)'!A160:M654,4,0)</f>
        <v>6</v>
      </c>
      <c r="M169" s="71"/>
      <c r="N169" s="71"/>
      <c r="O169" s="71"/>
      <c r="P169" s="71"/>
      <c r="Q169" s="71"/>
      <c r="R169" s="71"/>
      <c r="S169" s="71"/>
      <c r="T169" s="71"/>
      <c r="U169" s="71"/>
      <c r="W169"/>
    </row>
    <row r="170" spans="3:23" ht="13.9" customHeight="1">
      <c r="C170" s="69">
        <v>1030538055</v>
      </c>
      <c r="D170" s="70">
        <v>468</v>
      </c>
      <c r="E170" s="70">
        <v>38064</v>
      </c>
      <c r="F170" s="70" t="s">
        <v>125</v>
      </c>
      <c r="G170" s="70" t="s">
        <v>351</v>
      </c>
      <c r="H170" s="70" t="s">
        <v>86</v>
      </c>
      <c r="I170" s="70">
        <v>9004</v>
      </c>
      <c r="J170" s="71">
        <f>VLOOKUP(C170,'Base ejecuciones Oct-17 (2)'!A160:M655,2,0)</f>
        <v>27</v>
      </c>
      <c r="K170" s="71"/>
      <c r="L170" s="71">
        <f>VLOOKUP(C170,'Base ejecuciones Oct-17 (2)'!A161:M655,4,0)</f>
        <v>3</v>
      </c>
      <c r="M170" s="71"/>
      <c r="N170" s="71"/>
      <c r="O170" s="71"/>
      <c r="P170" s="71"/>
      <c r="Q170" s="71"/>
      <c r="R170" s="71"/>
      <c r="S170" s="71"/>
      <c r="T170" s="71"/>
      <c r="U170" s="71"/>
      <c r="W170"/>
    </row>
    <row r="171" spans="3:23" ht="13.9" customHeight="1">
      <c r="C171" s="69">
        <v>52919443</v>
      </c>
      <c r="D171" s="70">
        <v>811</v>
      </c>
      <c r="E171" s="70">
        <v>9571</v>
      </c>
      <c r="F171" s="70" t="s">
        <v>352</v>
      </c>
      <c r="G171" s="70" t="s">
        <v>353</v>
      </c>
      <c r="H171" s="70" t="s">
        <v>86</v>
      </c>
      <c r="I171" s="70">
        <v>9002</v>
      </c>
      <c r="J171" s="71">
        <f>VLOOKUP(C171,'Base ejecuciones Oct-17 (2)'!A161:M656,2,0)</f>
        <v>29</v>
      </c>
      <c r="K171" s="71"/>
      <c r="L171" s="71">
        <f>VLOOKUP(C171,'Base ejecuciones Oct-17 (2)'!A162:M656,4,0)</f>
        <v>12</v>
      </c>
      <c r="M171" s="71"/>
      <c r="N171" s="71"/>
      <c r="O171" s="71"/>
      <c r="P171" s="71"/>
      <c r="Q171" s="71"/>
      <c r="R171" s="71"/>
      <c r="S171" s="71"/>
      <c r="T171" s="71"/>
      <c r="U171" s="71"/>
      <c r="W171"/>
    </row>
    <row r="172" spans="3:23" ht="13.9" customHeight="1">
      <c r="C172" s="69">
        <v>1072654011</v>
      </c>
      <c r="D172" s="70">
        <v>797</v>
      </c>
      <c r="E172" s="70">
        <v>38431</v>
      </c>
      <c r="F172" s="70" t="s">
        <v>289</v>
      </c>
      <c r="G172" s="70" t="s">
        <v>354</v>
      </c>
      <c r="H172" s="70" t="s">
        <v>86</v>
      </c>
      <c r="I172" s="70">
        <v>9001</v>
      </c>
      <c r="J172" s="71">
        <f>VLOOKUP(C172,'Base ejecuciones Oct-17 (2)'!A162:M657,2,0)</f>
        <v>49</v>
      </c>
      <c r="K172" s="71"/>
      <c r="L172" s="71">
        <f>VLOOKUP(C172,'Base ejecuciones Oct-17 (2)'!A163:M657,4,0)</f>
        <v>11</v>
      </c>
      <c r="M172" s="71"/>
      <c r="N172" s="71"/>
      <c r="O172" s="71"/>
      <c r="P172" s="71"/>
      <c r="Q172" s="71"/>
      <c r="R172" s="71"/>
      <c r="S172" s="71"/>
      <c r="T172" s="71"/>
      <c r="U172" s="71"/>
      <c r="W172"/>
    </row>
    <row r="173" spans="3:23" ht="13.9" customHeight="1">
      <c r="C173" s="69">
        <v>1045737784</v>
      </c>
      <c r="D173" s="70">
        <v>874</v>
      </c>
      <c r="E173" s="70">
        <v>9185</v>
      </c>
      <c r="F173" s="70" t="s">
        <v>355</v>
      </c>
      <c r="G173" s="70" t="s">
        <v>356</v>
      </c>
      <c r="H173" s="70" t="s">
        <v>86</v>
      </c>
      <c r="I173" s="70">
        <v>9009</v>
      </c>
      <c r="J173" s="71">
        <f>VLOOKUP(C173,'Base ejecuciones Oct-17 (2)'!A163:M658,2,0)</f>
        <v>79</v>
      </c>
      <c r="K173" s="71"/>
      <c r="L173" s="71">
        <f>VLOOKUP(C173,'Base ejecuciones Oct-17 (2)'!A164:M658,4,0)</f>
        <v>6</v>
      </c>
      <c r="M173" s="71"/>
      <c r="N173" s="71"/>
      <c r="O173" s="71"/>
      <c r="P173" s="71"/>
      <c r="Q173" s="71"/>
      <c r="R173" s="71"/>
      <c r="S173" s="71"/>
      <c r="T173" s="71"/>
      <c r="U173" s="71"/>
      <c r="W173"/>
    </row>
    <row r="174" spans="3:23" ht="13.9" customHeight="1">
      <c r="C174" s="69">
        <v>1192736011</v>
      </c>
      <c r="D174" s="70">
        <v>202</v>
      </c>
      <c r="E174" s="70">
        <v>9971</v>
      </c>
      <c r="F174" s="70" t="s">
        <v>357</v>
      </c>
      <c r="G174" s="70" t="s">
        <v>358</v>
      </c>
      <c r="H174" s="70" t="s">
        <v>86</v>
      </c>
      <c r="I174" s="70">
        <v>9005</v>
      </c>
      <c r="J174" s="71">
        <f>VLOOKUP(C174,'Base ejecuciones Oct-17 (2)'!A164:M659,2,0)</f>
        <v>45</v>
      </c>
      <c r="K174" s="71"/>
      <c r="L174" s="71">
        <f>VLOOKUP(C174,'Base ejecuciones Oct-17 (2)'!A165:M659,4,0)</f>
        <v>15</v>
      </c>
      <c r="M174" s="71"/>
      <c r="N174" s="71"/>
      <c r="O174" s="71"/>
      <c r="P174" s="71"/>
      <c r="Q174" s="71"/>
      <c r="R174" s="71"/>
      <c r="S174" s="71"/>
      <c r="T174" s="71"/>
      <c r="U174" s="71"/>
      <c r="W174"/>
    </row>
    <row r="175" spans="3:23" ht="13.9" customHeight="1">
      <c r="C175" s="69">
        <v>1049624001</v>
      </c>
      <c r="D175" s="70">
        <v>695</v>
      </c>
      <c r="E175" s="70">
        <v>37547</v>
      </c>
      <c r="F175" s="70" t="s">
        <v>359</v>
      </c>
      <c r="G175" s="70" t="s">
        <v>360</v>
      </c>
      <c r="H175" s="70" t="s">
        <v>86</v>
      </c>
      <c r="I175" s="70">
        <v>9008</v>
      </c>
      <c r="J175" s="71">
        <f>VLOOKUP(C175,'Base ejecuciones Oct-17 (2)'!A165:M660,2,0)</f>
        <v>43</v>
      </c>
      <c r="K175" s="71"/>
      <c r="L175" s="71">
        <f>VLOOKUP(C175,'Base ejecuciones Oct-17 (2)'!A166:M660,4,0)</f>
        <v>1</v>
      </c>
      <c r="M175" s="71"/>
      <c r="N175" s="71"/>
      <c r="O175" s="71"/>
      <c r="P175" s="71"/>
      <c r="Q175" s="71"/>
      <c r="R175" s="71"/>
      <c r="S175" s="71"/>
      <c r="T175" s="71"/>
      <c r="U175" s="71"/>
      <c r="W175"/>
    </row>
    <row r="176" spans="3:23" ht="13.9" customHeight="1">
      <c r="C176" s="69">
        <v>1067855981</v>
      </c>
      <c r="D176" s="70">
        <v>58</v>
      </c>
      <c r="E176" s="70">
        <v>17539</v>
      </c>
      <c r="F176" s="70" t="s">
        <v>341</v>
      </c>
      <c r="G176" s="70" t="s">
        <v>361</v>
      </c>
      <c r="H176" s="70" t="s">
        <v>86</v>
      </c>
      <c r="I176" s="70">
        <v>9003</v>
      </c>
      <c r="J176" s="71">
        <f>VLOOKUP(C176,'Base ejecuciones Oct-17 (2)'!A166:M661,2,0)</f>
        <v>64</v>
      </c>
      <c r="K176" s="71"/>
      <c r="L176" s="71">
        <f>VLOOKUP(C176,'Base ejecuciones Oct-17 (2)'!A167:M661,4,0)</f>
        <v>12</v>
      </c>
      <c r="M176" s="71"/>
      <c r="N176" s="71"/>
      <c r="O176" s="71"/>
      <c r="P176" s="71"/>
      <c r="Q176" s="71"/>
      <c r="R176" s="71"/>
      <c r="S176" s="71"/>
      <c r="T176" s="71"/>
      <c r="U176" s="71"/>
      <c r="W176"/>
    </row>
    <row r="177" spans="3:23" ht="13.9" customHeight="1">
      <c r="C177" s="69">
        <v>34325898</v>
      </c>
      <c r="D177" s="70">
        <v>794</v>
      </c>
      <c r="E177" s="70">
        <v>38859</v>
      </c>
      <c r="F177" s="70" t="s">
        <v>255</v>
      </c>
      <c r="G177" s="70" t="s">
        <v>362</v>
      </c>
      <c r="H177" s="70" t="s">
        <v>86</v>
      </c>
      <c r="I177" s="70">
        <v>9006</v>
      </c>
      <c r="J177" s="71">
        <f>VLOOKUP(C177,'Base ejecuciones Oct-17 (2)'!A167:M662,2,0)</f>
        <v>104</v>
      </c>
      <c r="K177" s="71"/>
      <c r="L177" s="71">
        <f>VLOOKUP(C177,'Base ejecuciones Oct-17 (2)'!A168:M662,4,0)</f>
        <v>6</v>
      </c>
      <c r="M177" s="71"/>
      <c r="N177" s="71"/>
      <c r="O177" s="71"/>
      <c r="P177" s="71"/>
      <c r="Q177" s="71"/>
      <c r="R177" s="71"/>
      <c r="S177" s="71"/>
      <c r="T177" s="71"/>
      <c r="U177" s="71"/>
      <c r="W177"/>
    </row>
    <row r="178" spans="3:23" ht="13.9" customHeight="1">
      <c r="C178" s="69">
        <v>1110588149</v>
      </c>
      <c r="D178" s="70">
        <v>211</v>
      </c>
      <c r="E178" s="70">
        <v>36883</v>
      </c>
      <c r="F178" s="70" t="s">
        <v>241</v>
      </c>
      <c r="G178" s="70" t="s">
        <v>363</v>
      </c>
      <c r="H178" s="70" t="s">
        <v>86</v>
      </c>
      <c r="I178" s="70">
        <v>9005</v>
      </c>
      <c r="J178" s="71">
        <f>VLOOKUP(C178,'Base ejecuciones Oct-17 (2)'!A168:M663,2,0)</f>
        <v>135</v>
      </c>
      <c r="K178" s="71"/>
      <c r="L178" s="71">
        <f>VLOOKUP(C178,'Base ejecuciones Oct-17 (2)'!A169:M663,4,0)</f>
        <v>6</v>
      </c>
      <c r="M178" s="71"/>
      <c r="N178" s="71"/>
      <c r="O178" s="71"/>
      <c r="P178" s="71"/>
      <c r="Q178" s="71"/>
      <c r="R178" s="71"/>
      <c r="S178" s="71"/>
      <c r="T178" s="71"/>
      <c r="U178" s="71"/>
      <c r="W178"/>
    </row>
    <row r="179" spans="3:23" ht="13.9" customHeight="1">
      <c r="C179" s="69">
        <v>1022414613</v>
      </c>
      <c r="D179" s="70">
        <v>280</v>
      </c>
      <c r="E179" s="70">
        <v>38755</v>
      </c>
      <c r="F179" s="70" t="s">
        <v>91</v>
      </c>
      <c r="G179" s="70" t="s">
        <v>364</v>
      </c>
      <c r="H179" s="70" t="s">
        <v>116</v>
      </c>
      <c r="I179" s="70">
        <v>9003</v>
      </c>
      <c r="J179" s="71">
        <f>VLOOKUP(C179,'Base ejecuciones Oct-17 (2)'!A169:M664,2,0)</f>
        <v>36</v>
      </c>
      <c r="K179" s="71"/>
      <c r="L179" s="71">
        <f>VLOOKUP(C179,'Base ejecuciones Oct-17 (2)'!A170:M664,4,0)</f>
        <v>0</v>
      </c>
      <c r="M179" s="71"/>
      <c r="N179" s="71"/>
      <c r="O179" s="71"/>
      <c r="P179" s="71"/>
      <c r="Q179" s="71"/>
      <c r="R179" s="71"/>
      <c r="S179" s="71"/>
      <c r="T179" s="71"/>
      <c r="U179" s="71"/>
      <c r="W179"/>
    </row>
    <row r="180" spans="3:23" ht="13.9" customHeight="1">
      <c r="C180" s="69">
        <v>52218341</v>
      </c>
      <c r="D180" s="70">
        <v>5</v>
      </c>
      <c r="E180" s="70">
        <v>9323</v>
      </c>
      <c r="F180" s="70" t="s">
        <v>197</v>
      </c>
      <c r="G180" s="70" t="s">
        <v>365</v>
      </c>
      <c r="H180" s="70" t="s">
        <v>86</v>
      </c>
      <c r="I180" s="70">
        <v>9002</v>
      </c>
      <c r="J180" s="71">
        <f>VLOOKUP(C180,'Base ejecuciones Oct-17 (2)'!A170:M665,2,0)</f>
        <v>41</v>
      </c>
      <c r="K180" s="71"/>
      <c r="L180" s="71">
        <f>VLOOKUP(C180,'Base ejecuciones Oct-17 (2)'!A171:M665,4,0)</f>
        <v>12</v>
      </c>
      <c r="M180" s="71"/>
      <c r="N180" s="71"/>
      <c r="O180" s="71"/>
      <c r="P180" s="71"/>
      <c r="Q180" s="71"/>
      <c r="R180" s="71"/>
      <c r="S180" s="71"/>
      <c r="T180" s="71"/>
      <c r="U180" s="71"/>
      <c r="W180"/>
    </row>
    <row r="181" spans="3:23" ht="13.9" customHeight="1">
      <c r="C181" s="69">
        <v>1030633656</v>
      </c>
      <c r="D181" s="70">
        <v>33</v>
      </c>
      <c r="E181" s="70">
        <v>9954</v>
      </c>
      <c r="F181" s="70" t="s">
        <v>135</v>
      </c>
      <c r="G181" s="70" t="s">
        <v>366</v>
      </c>
      <c r="H181" s="70" t="s">
        <v>116</v>
      </c>
      <c r="I181" s="70">
        <v>9001</v>
      </c>
      <c r="J181" s="71">
        <f>VLOOKUP(C181,'Base ejecuciones Oct-17 (2)'!A171:M666,2,0)</f>
        <v>84</v>
      </c>
      <c r="K181" s="71"/>
      <c r="L181" s="71">
        <f>VLOOKUP(C181,'Base ejecuciones Oct-17 (2)'!A172:M666,4,0)</f>
        <v>5</v>
      </c>
      <c r="M181" s="71"/>
      <c r="N181" s="71"/>
      <c r="O181" s="71"/>
      <c r="P181" s="71"/>
      <c r="Q181" s="71"/>
      <c r="R181" s="71"/>
      <c r="S181" s="71"/>
      <c r="T181" s="71"/>
      <c r="U181" s="71"/>
      <c r="W181"/>
    </row>
    <row r="182" spans="3:23" ht="13.9" customHeight="1">
      <c r="C182" s="69">
        <v>1067888710</v>
      </c>
      <c r="D182" s="70">
        <v>530</v>
      </c>
      <c r="E182" s="70">
        <v>36639</v>
      </c>
      <c r="F182" s="70" t="s">
        <v>220</v>
      </c>
      <c r="G182" s="70" t="s">
        <v>367</v>
      </c>
      <c r="H182" s="70" t="s">
        <v>86</v>
      </c>
      <c r="I182" s="70">
        <v>9007</v>
      </c>
      <c r="J182" s="71">
        <f>VLOOKUP(C182,'Base ejecuciones Oct-17 (2)'!A172:M667,2,0)</f>
        <v>102</v>
      </c>
      <c r="K182" s="71"/>
      <c r="L182" s="71">
        <f>VLOOKUP(C182,'Base ejecuciones Oct-17 (2)'!A173:M667,4,0)</f>
        <v>15</v>
      </c>
      <c r="M182" s="71"/>
      <c r="N182" s="71"/>
      <c r="O182" s="71"/>
      <c r="P182" s="71"/>
      <c r="Q182" s="71"/>
      <c r="R182" s="71"/>
      <c r="S182" s="71"/>
      <c r="T182" s="71"/>
      <c r="U182" s="71"/>
      <c r="W182"/>
    </row>
    <row r="183" spans="3:23" ht="13.9" customHeight="1">
      <c r="C183" s="69">
        <v>1033686889</v>
      </c>
      <c r="D183" s="70">
        <v>64</v>
      </c>
      <c r="E183" s="70">
        <v>9178</v>
      </c>
      <c r="F183" s="70" t="s">
        <v>331</v>
      </c>
      <c r="G183" s="70" t="s">
        <v>368</v>
      </c>
      <c r="H183" s="70" t="s">
        <v>86</v>
      </c>
      <c r="I183" s="70">
        <v>9004</v>
      </c>
      <c r="J183" s="71">
        <f>VLOOKUP(C183,'Base ejecuciones Oct-17 (2)'!A173:M668,2,0)</f>
        <v>45</v>
      </c>
      <c r="K183" s="71"/>
      <c r="L183" s="71">
        <f>VLOOKUP(C183,'Base ejecuciones Oct-17 (2)'!A174:M668,4,0)</f>
        <v>9</v>
      </c>
      <c r="M183" s="71"/>
      <c r="N183" s="71"/>
      <c r="O183" s="71"/>
      <c r="P183" s="71"/>
      <c r="Q183" s="71"/>
      <c r="R183" s="71"/>
      <c r="S183" s="71"/>
      <c r="T183" s="71"/>
      <c r="U183" s="71"/>
      <c r="W183"/>
    </row>
    <row r="184" spans="3:23" ht="13.9" customHeight="1">
      <c r="C184" s="69">
        <v>52760661</v>
      </c>
      <c r="D184" s="70">
        <v>69</v>
      </c>
      <c r="E184" s="70">
        <v>9085</v>
      </c>
      <c r="F184" s="70" t="s">
        <v>95</v>
      </c>
      <c r="G184" s="70" t="s">
        <v>369</v>
      </c>
      <c r="H184" s="70" t="s">
        <v>86</v>
      </c>
      <c r="I184" s="70">
        <v>9004</v>
      </c>
      <c r="J184" s="71">
        <f>VLOOKUP(C184,'Base ejecuciones Oct-17 (2)'!A174:M669,2,0)</f>
        <v>24</v>
      </c>
      <c r="K184" s="71"/>
      <c r="L184" s="71">
        <f>VLOOKUP(C184,'Base ejecuciones Oct-17 (2)'!A175:M669,4,0)</f>
        <v>6</v>
      </c>
      <c r="M184" s="71"/>
      <c r="N184" s="71"/>
      <c r="O184" s="71"/>
      <c r="P184" s="71"/>
      <c r="Q184" s="71"/>
      <c r="R184" s="71"/>
      <c r="S184" s="71"/>
      <c r="T184" s="71"/>
      <c r="U184" s="71"/>
      <c r="W184"/>
    </row>
    <row r="185" spans="3:23" ht="13.9" customHeight="1">
      <c r="C185" s="69">
        <v>1110546371</v>
      </c>
      <c r="D185" s="70">
        <v>274</v>
      </c>
      <c r="E185" s="70">
        <v>36150</v>
      </c>
      <c r="F185" s="70" t="s">
        <v>370</v>
      </c>
      <c r="G185" s="70" t="s">
        <v>371</v>
      </c>
      <c r="H185" s="70" t="s">
        <v>86</v>
      </c>
      <c r="I185" s="70">
        <v>9005</v>
      </c>
      <c r="J185" s="71">
        <f>VLOOKUP(C185,'Base ejecuciones Oct-17 (2)'!A175:M670,2,0)</f>
        <v>61</v>
      </c>
      <c r="K185" s="71"/>
      <c r="L185" s="71">
        <f>VLOOKUP(C185,'Base ejecuciones Oct-17 (2)'!A176:M670,4,0)</f>
        <v>4</v>
      </c>
      <c r="M185" s="71"/>
      <c r="N185" s="71"/>
      <c r="O185" s="71"/>
      <c r="P185" s="71"/>
      <c r="Q185" s="71"/>
      <c r="R185" s="71"/>
      <c r="S185" s="71"/>
      <c r="T185" s="71"/>
      <c r="U185" s="71"/>
      <c r="W185"/>
    </row>
    <row r="186" spans="3:23" ht="13.9" customHeight="1">
      <c r="C186" s="69">
        <v>37547801</v>
      </c>
      <c r="D186" s="70">
        <v>131</v>
      </c>
      <c r="E186" s="70">
        <v>37161</v>
      </c>
      <c r="F186" s="70" t="s">
        <v>121</v>
      </c>
      <c r="G186" s="70" t="s">
        <v>372</v>
      </c>
      <c r="H186" s="70" t="s">
        <v>86</v>
      </c>
      <c r="I186" s="70">
        <v>9008</v>
      </c>
      <c r="J186" s="71">
        <f>VLOOKUP(C186,'Base ejecuciones Oct-17 (2)'!A176:M671,2,0)</f>
        <v>65</v>
      </c>
      <c r="K186" s="71"/>
      <c r="L186" s="71">
        <f>VLOOKUP(C186,'Base ejecuciones Oct-17 (2)'!A177:M671,4,0)</f>
        <v>8</v>
      </c>
      <c r="M186" s="71"/>
      <c r="N186" s="71"/>
      <c r="O186" s="71"/>
      <c r="P186" s="71"/>
      <c r="Q186" s="71"/>
      <c r="R186" s="71"/>
      <c r="S186" s="71"/>
      <c r="T186" s="71"/>
      <c r="U186" s="71"/>
      <c r="W186"/>
    </row>
    <row r="187" spans="3:23" ht="13.9" customHeight="1">
      <c r="C187" s="69">
        <v>52932545</v>
      </c>
      <c r="D187" s="70">
        <v>21</v>
      </c>
      <c r="E187" s="70">
        <v>9653</v>
      </c>
      <c r="F187" s="70" t="s">
        <v>373</v>
      </c>
      <c r="G187" s="70" t="s">
        <v>374</v>
      </c>
      <c r="H187" s="70" t="s">
        <v>86</v>
      </c>
      <c r="I187" s="70">
        <v>9002</v>
      </c>
      <c r="J187" s="71">
        <f>VLOOKUP(C187,'Base ejecuciones Oct-17 (2)'!A177:M672,2,0)</f>
        <v>114</v>
      </c>
      <c r="K187" s="71"/>
      <c r="L187" s="71">
        <f>VLOOKUP(C187,'Base ejecuciones Oct-17 (2)'!A178:M672,4,0)</f>
        <v>6</v>
      </c>
      <c r="M187" s="71"/>
      <c r="N187" s="71"/>
      <c r="O187" s="71"/>
      <c r="P187" s="71"/>
      <c r="Q187" s="71"/>
      <c r="R187" s="71"/>
      <c r="S187" s="71"/>
      <c r="T187" s="71"/>
      <c r="U187" s="71"/>
      <c r="W187"/>
    </row>
    <row r="188" spans="3:23" ht="13.9" customHeight="1">
      <c r="C188" s="69">
        <v>1039447320</v>
      </c>
      <c r="D188" s="70">
        <v>174</v>
      </c>
      <c r="E188" s="70">
        <v>9734</v>
      </c>
      <c r="F188" s="70" t="s">
        <v>232</v>
      </c>
      <c r="G188" s="70" t="s">
        <v>375</v>
      </c>
      <c r="H188" s="70" t="s">
        <v>86</v>
      </c>
      <c r="I188" s="70">
        <v>9007</v>
      </c>
      <c r="J188" s="71">
        <f>VLOOKUP(C188,'Base ejecuciones Oct-17 (2)'!A178:M673,2,0)</f>
        <v>52</v>
      </c>
      <c r="K188" s="71"/>
      <c r="L188" s="71">
        <f>VLOOKUP(C188,'Base ejecuciones Oct-17 (2)'!A179:M673,4,0)</f>
        <v>5</v>
      </c>
      <c r="M188" s="71"/>
      <c r="N188" s="71"/>
      <c r="O188" s="71"/>
      <c r="P188" s="71"/>
      <c r="Q188" s="71"/>
      <c r="R188" s="71"/>
      <c r="S188" s="71"/>
      <c r="T188" s="71"/>
      <c r="U188" s="71"/>
      <c r="W188"/>
    </row>
    <row r="189" spans="3:23" ht="13.9" customHeight="1">
      <c r="C189" s="69">
        <v>1037632050</v>
      </c>
      <c r="D189" s="70">
        <v>693</v>
      </c>
      <c r="E189" s="70">
        <v>36511</v>
      </c>
      <c r="F189" s="70" t="s">
        <v>376</v>
      </c>
      <c r="G189" s="70" t="s">
        <v>377</v>
      </c>
      <c r="H189" s="70" t="s">
        <v>86</v>
      </c>
      <c r="I189" s="70">
        <v>9007</v>
      </c>
      <c r="J189" s="71">
        <f>VLOOKUP(C189,'Base ejecuciones Oct-17 (2)'!A179:M674,2,0)</f>
        <v>43</v>
      </c>
      <c r="K189" s="71"/>
      <c r="L189" s="71">
        <f>VLOOKUP(C189,'Base ejecuciones Oct-17 (2)'!A180:M674,4,0)</f>
        <v>12</v>
      </c>
      <c r="M189" s="71"/>
      <c r="N189" s="71"/>
      <c r="O189" s="71"/>
      <c r="P189" s="71"/>
      <c r="Q189" s="71"/>
      <c r="R189" s="71"/>
      <c r="S189" s="71"/>
      <c r="T189" s="71"/>
      <c r="U189" s="71"/>
      <c r="W189"/>
    </row>
    <row r="190" spans="3:23" ht="13.9" customHeight="1">
      <c r="C190" s="69">
        <v>1020441734</v>
      </c>
      <c r="D190" s="70">
        <v>173</v>
      </c>
      <c r="E190" s="70">
        <v>37970</v>
      </c>
      <c r="F190" s="70" t="s">
        <v>245</v>
      </c>
      <c r="G190" s="70" t="s">
        <v>378</v>
      </c>
      <c r="H190" s="70" t="s">
        <v>86</v>
      </c>
      <c r="I190" s="70">
        <v>9007</v>
      </c>
      <c r="J190" s="71">
        <f>VLOOKUP(C190,'Base ejecuciones Oct-17 (2)'!A180:M675,2,0)</f>
        <v>27</v>
      </c>
      <c r="K190" s="71"/>
      <c r="L190" s="71">
        <f>VLOOKUP(C190,'Base ejecuciones Oct-17 (2)'!A181:M675,4,0)</f>
        <v>3</v>
      </c>
      <c r="M190" s="71"/>
      <c r="N190" s="71"/>
      <c r="O190" s="71"/>
      <c r="P190" s="71"/>
      <c r="Q190" s="71"/>
      <c r="R190" s="71"/>
      <c r="S190" s="71"/>
      <c r="T190" s="71"/>
      <c r="U190" s="71"/>
      <c r="W190"/>
    </row>
    <row r="191" spans="3:23" ht="13.9" customHeight="1">
      <c r="C191" s="69">
        <v>5824284</v>
      </c>
      <c r="D191" s="70">
        <v>211</v>
      </c>
      <c r="E191" s="70">
        <v>9943</v>
      </c>
      <c r="F191" s="70" t="s">
        <v>241</v>
      </c>
      <c r="G191" s="70" t="s">
        <v>379</v>
      </c>
      <c r="H191" s="70" t="s">
        <v>86</v>
      </c>
      <c r="I191" s="70">
        <v>9005</v>
      </c>
      <c r="J191" s="71">
        <f>VLOOKUP(C191,'Base ejecuciones Oct-17 (2)'!A181:M676,2,0)</f>
        <v>93</v>
      </c>
      <c r="K191" s="71"/>
      <c r="L191" s="71">
        <f>VLOOKUP(C191,'Base ejecuciones Oct-17 (2)'!A182:M676,4,0)</f>
        <v>5</v>
      </c>
      <c r="M191" s="71"/>
      <c r="N191" s="71"/>
      <c r="O191" s="71"/>
      <c r="P191" s="71"/>
      <c r="Q191" s="71"/>
      <c r="R191" s="71"/>
      <c r="S191" s="71"/>
      <c r="T191" s="71"/>
      <c r="U191" s="71"/>
      <c r="W191"/>
    </row>
    <row r="192" spans="3:23" ht="13.9" customHeight="1">
      <c r="C192" s="69">
        <v>1128473381</v>
      </c>
      <c r="D192" s="70">
        <v>692</v>
      </c>
      <c r="E192" s="70">
        <v>37398</v>
      </c>
      <c r="F192" s="70" t="s">
        <v>173</v>
      </c>
      <c r="G192" s="70" t="s">
        <v>380</v>
      </c>
      <c r="H192" s="70" t="s">
        <v>86</v>
      </c>
      <c r="I192" s="70">
        <v>9007</v>
      </c>
      <c r="J192" s="71">
        <f>VLOOKUP(C192,'Base ejecuciones Oct-17 (2)'!A182:M677,2,0)</f>
        <v>20</v>
      </c>
      <c r="K192" s="71"/>
      <c r="L192" s="71">
        <f>VLOOKUP(C192,'Base ejecuciones Oct-17 (2)'!A183:M677,4,0)</f>
        <v>8</v>
      </c>
      <c r="M192" s="71"/>
      <c r="N192" s="71"/>
      <c r="O192" s="71"/>
      <c r="P192" s="71"/>
      <c r="Q192" s="71"/>
      <c r="R192" s="71"/>
      <c r="S192" s="71"/>
      <c r="T192" s="71"/>
      <c r="U192" s="71"/>
      <c r="W192"/>
    </row>
    <row r="193" spans="3:23" ht="13.9" customHeight="1">
      <c r="C193" s="69">
        <v>1033756294</v>
      </c>
      <c r="D193" s="70">
        <v>14</v>
      </c>
      <c r="E193" s="70">
        <v>9857</v>
      </c>
      <c r="F193" s="70" t="s">
        <v>305</v>
      </c>
      <c r="G193" s="70" t="s">
        <v>381</v>
      </c>
      <c r="H193" s="70" t="s">
        <v>86</v>
      </c>
      <c r="I193" s="70">
        <v>9003</v>
      </c>
      <c r="J193" s="71">
        <f>VLOOKUP(C193,'Base ejecuciones Oct-17 (2)'!A183:M678,2,0)</f>
        <v>53</v>
      </c>
      <c r="K193" s="71"/>
      <c r="L193" s="71">
        <f>VLOOKUP(C193,'Base ejecuciones Oct-17 (2)'!A184:M678,4,0)</f>
        <v>12</v>
      </c>
      <c r="M193" s="71"/>
      <c r="N193" s="71"/>
      <c r="O193" s="71"/>
      <c r="P193" s="71"/>
      <c r="Q193" s="71"/>
      <c r="R193" s="71"/>
      <c r="S193" s="71"/>
      <c r="T193" s="71"/>
      <c r="U193" s="71"/>
      <c r="W193"/>
    </row>
    <row r="194" spans="3:23" ht="13.9" customHeight="1">
      <c r="C194" s="69">
        <v>1044423436</v>
      </c>
      <c r="D194" s="70">
        <v>440</v>
      </c>
      <c r="E194" s="70">
        <v>36767</v>
      </c>
      <c r="F194" s="70" t="s">
        <v>382</v>
      </c>
      <c r="G194" s="70" t="s">
        <v>383</v>
      </c>
      <c r="H194" s="70" t="s">
        <v>86</v>
      </c>
      <c r="I194" s="70">
        <v>9002</v>
      </c>
      <c r="J194" s="71">
        <f>VLOOKUP(C194,'Base ejecuciones Oct-17 (2)'!A184:M679,2,0)</f>
        <v>35</v>
      </c>
      <c r="K194" s="71"/>
      <c r="L194" s="71">
        <f>VLOOKUP(C194,'Base ejecuciones Oct-17 (2)'!A185:M679,4,0)</f>
        <v>8</v>
      </c>
      <c r="M194" s="71"/>
      <c r="N194" s="71"/>
      <c r="O194" s="71"/>
      <c r="P194" s="71"/>
      <c r="Q194" s="71"/>
      <c r="R194" s="71"/>
      <c r="S194" s="71"/>
      <c r="T194" s="71"/>
      <c r="U194" s="71"/>
      <c r="W194"/>
    </row>
    <row r="195" spans="3:23" ht="13.9" customHeight="1">
      <c r="C195" s="69">
        <v>1098310948</v>
      </c>
      <c r="D195" s="70">
        <v>341</v>
      </c>
      <c r="E195" s="70">
        <v>9806</v>
      </c>
      <c r="F195" s="70" t="s">
        <v>384</v>
      </c>
      <c r="G195" s="70" t="s">
        <v>385</v>
      </c>
      <c r="H195" s="70" t="s">
        <v>86</v>
      </c>
      <c r="I195" s="70">
        <v>9005</v>
      </c>
      <c r="J195" s="71">
        <f>VLOOKUP(C195,'Base ejecuciones Oct-17 (2)'!A185:M680,2,0)</f>
        <v>118</v>
      </c>
      <c r="K195" s="71"/>
      <c r="L195" s="71">
        <f>VLOOKUP(C195,'Base ejecuciones Oct-17 (2)'!A186:M680,4,0)</f>
        <v>11</v>
      </c>
      <c r="M195" s="71"/>
      <c r="N195" s="71"/>
      <c r="O195" s="71"/>
      <c r="P195" s="71"/>
      <c r="Q195" s="71"/>
      <c r="R195" s="71"/>
      <c r="S195" s="71"/>
      <c r="T195" s="71"/>
      <c r="U195" s="71"/>
      <c r="W195"/>
    </row>
    <row r="196" spans="3:23" ht="13.9" customHeight="1">
      <c r="C196" s="69">
        <v>28559553</v>
      </c>
      <c r="D196" s="70">
        <v>18</v>
      </c>
      <c r="E196" s="70">
        <v>9382</v>
      </c>
      <c r="F196" s="70" t="s">
        <v>386</v>
      </c>
      <c r="G196" s="70" t="s">
        <v>387</v>
      </c>
      <c r="H196" s="70" t="s">
        <v>86</v>
      </c>
      <c r="I196" s="70">
        <v>9003</v>
      </c>
      <c r="J196" s="71">
        <f>VLOOKUP(C196,'Base ejecuciones Oct-17 (2)'!A186:M681,2,0)</f>
        <v>0</v>
      </c>
      <c r="K196" s="71"/>
      <c r="L196" s="71">
        <f>VLOOKUP(C196,'Base ejecuciones Oct-17 (2)'!A187:M681,4,0)</f>
        <v>0</v>
      </c>
      <c r="M196" s="71"/>
      <c r="N196" s="71"/>
      <c r="O196" s="71"/>
      <c r="P196" s="71"/>
      <c r="Q196" s="71"/>
      <c r="R196" s="71"/>
      <c r="S196" s="71"/>
      <c r="T196" s="71"/>
      <c r="U196" s="71"/>
      <c r="W196"/>
    </row>
    <row r="197" spans="3:23" ht="13.9" customHeight="1">
      <c r="C197" s="69">
        <v>1088318521</v>
      </c>
      <c r="D197" s="70">
        <v>203</v>
      </c>
      <c r="E197" s="70">
        <v>9607</v>
      </c>
      <c r="F197" s="70" t="s">
        <v>93</v>
      </c>
      <c r="G197" s="70" t="s">
        <v>388</v>
      </c>
      <c r="H197" s="70" t="s">
        <v>86</v>
      </c>
      <c r="I197" s="70">
        <v>9005</v>
      </c>
      <c r="J197" s="71">
        <f>VLOOKUP(C197,'Base ejecuciones Oct-17 (2)'!A187:M682,2,0)</f>
        <v>78</v>
      </c>
      <c r="K197" s="71"/>
      <c r="L197" s="71">
        <f>VLOOKUP(C197,'Base ejecuciones Oct-17 (2)'!A188:M682,4,0)</f>
        <v>14</v>
      </c>
      <c r="M197" s="71"/>
      <c r="N197" s="71"/>
      <c r="O197" s="71"/>
      <c r="P197" s="71"/>
      <c r="Q197" s="71"/>
      <c r="R197" s="71"/>
      <c r="S197" s="71"/>
      <c r="T197" s="71"/>
      <c r="U197" s="71"/>
      <c r="W197"/>
    </row>
    <row r="198" spans="3:23" ht="13.9" customHeight="1">
      <c r="C198" s="69">
        <v>1012412351</v>
      </c>
      <c r="D198" s="70">
        <v>79</v>
      </c>
      <c r="E198" s="70">
        <v>36373</v>
      </c>
      <c r="F198" s="70" t="s">
        <v>222</v>
      </c>
      <c r="G198" s="70" t="s">
        <v>389</v>
      </c>
      <c r="H198" s="70" t="s">
        <v>86</v>
      </c>
      <c r="I198" s="70">
        <v>9003</v>
      </c>
      <c r="J198" s="71">
        <f>VLOOKUP(C198,'Base ejecuciones Oct-17 (2)'!A188:M683,2,0)</f>
        <v>55</v>
      </c>
      <c r="K198" s="71"/>
      <c r="L198" s="71">
        <f>VLOOKUP(C198,'Base ejecuciones Oct-17 (2)'!A189:M683,4,0)</f>
        <v>12</v>
      </c>
      <c r="M198" s="71"/>
      <c r="N198" s="71"/>
      <c r="O198" s="71"/>
      <c r="P198" s="71"/>
      <c r="Q198" s="71"/>
      <c r="R198" s="71"/>
      <c r="S198" s="71"/>
      <c r="T198" s="71"/>
      <c r="U198" s="71"/>
      <c r="W198"/>
    </row>
    <row r="199" spans="3:23" ht="13.9" customHeight="1">
      <c r="C199" s="69">
        <v>94516890</v>
      </c>
      <c r="D199" s="70">
        <v>586</v>
      </c>
      <c r="E199" s="70">
        <v>20068</v>
      </c>
      <c r="F199" s="70" t="s">
        <v>390</v>
      </c>
      <c r="G199" s="70" t="s">
        <v>391</v>
      </c>
      <c r="H199" s="70" t="s">
        <v>86</v>
      </c>
      <c r="I199" s="70">
        <v>9006</v>
      </c>
      <c r="J199" s="71">
        <f>VLOOKUP(C199,'Base ejecuciones Oct-17 (2)'!A189:M684,2,0)</f>
        <v>50</v>
      </c>
      <c r="K199" s="71"/>
      <c r="L199" s="71">
        <f>VLOOKUP(C199,'Base ejecuciones Oct-17 (2)'!A190:M684,4,0)</f>
        <v>6</v>
      </c>
      <c r="M199" s="71"/>
      <c r="N199" s="71"/>
      <c r="O199" s="71"/>
      <c r="P199" s="71"/>
      <c r="Q199" s="71"/>
      <c r="R199" s="71"/>
      <c r="S199" s="71"/>
      <c r="T199" s="71"/>
      <c r="U199" s="71"/>
      <c r="W199"/>
    </row>
    <row r="200" spans="3:23" ht="13.9" customHeight="1">
      <c r="C200" s="69">
        <v>36313483</v>
      </c>
      <c r="D200" s="70">
        <v>216</v>
      </c>
      <c r="E200" s="70">
        <v>38628</v>
      </c>
      <c r="F200" s="70" t="s">
        <v>268</v>
      </c>
      <c r="G200" s="70" t="s">
        <v>392</v>
      </c>
      <c r="H200" s="70" t="s">
        <v>86</v>
      </c>
      <c r="I200" s="70">
        <v>9005</v>
      </c>
      <c r="J200" s="71">
        <f>VLOOKUP(C200,'Base ejecuciones Oct-17 (2)'!A190:M685,2,0)</f>
        <v>0</v>
      </c>
      <c r="K200" s="71"/>
      <c r="L200" s="71">
        <f>VLOOKUP(C200,'Base ejecuciones Oct-17 (2)'!A191:M685,4,0)</f>
        <v>0</v>
      </c>
      <c r="M200" s="71"/>
      <c r="N200" s="71"/>
      <c r="O200" s="71"/>
      <c r="P200" s="71"/>
      <c r="Q200" s="71"/>
      <c r="R200" s="71"/>
      <c r="S200" s="71"/>
      <c r="T200" s="71"/>
      <c r="U200" s="71"/>
      <c r="W200"/>
    </row>
    <row r="201" spans="3:23" ht="13.9" customHeight="1">
      <c r="C201" s="69">
        <v>1024462932</v>
      </c>
      <c r="D201" s="70">
        <v>67</v>
      </c>
      <c r="E201" s="70">
        <v>8946</v>
      </c>
      <c r="F201" s="70" t="s">
        <v>393</v>
      </c>
      <c r="G201" s="70" t="s">
        <v>394</v>
      </c>
      <c r="H201" s="70" t="s">
        <v>86</v>
      </c>
      <c r="I201" s="70">
        <v>9004</v>
      </c>
      <c r="J201" s="71">
        <f>VLOOKUP(C201,'Base ejecuciones Oct-17 (2)'!A191:M686,2,0)</f>
        <v>67</v>
      </c>
      <c r="K201" s="71"/>
      <c r="L201" s="71">
        <f>VLOOKUP(C201,'Base ejecuciones Oct-17 (2)'!A192:M686,4,0)</f>
        <v>10</v>
      </c>
      <c r="M201" s="71"/>
      <c r="N201" s="71"/>
      <c r="O201" s="71"/>
      <c r="P201" s="71"/>
      <c r="Q201" s="71"/>
      <c r="R201" s="71"/>
      <c r="S201" s="71"/>
      <c r="T201" s="71"/>
      <c r="U201" s="71"/>
      <c r="W201"/>
    </row>
    <row r="202" spans="3:23" ht="13.9" customHeight="1">
      <c r="C202" s="69">
        <v>1122124840</v>
      </c>
      <c r="D202" s="70">
        <v>93</v>
      </c>
      <c r="E202" s="70">
        <v>9926</v>
      </c>
      <c r="F202" s="70" t="s">
        <v>395</v>
      </c>
      <c r="G202" s="70" t="s">
        <v>396</v>
      </c>
      <c r="H202" s="70" t="s">
        <v>86</v>
      </c>
      <c r="I202" s="70">
        <v>9008</v>
      </c>
      <c r="J202" s="71">
        <f>VLOOKUP(C202,'Base ejecuciones Oct-17 (2)'!A192:M687,2,0)</f>
        <v>117</v>
      </c>
      <c r="K202" s="71"/>
      <c r="L202" s="71">
        <f>VLOOKUP(C202,'Base ejecuciones Oct-17 (2)'!A193:M687,4,0)</f>
        <v>11</v>
      </c>
      <c r="M202" s="71"/>
      <c r="N202" s="71"/>
      <c r="O202" s="71"/>
      <c r="P202" s="71"/>
      <c r="Q202" s="71"/>
      <c r="R202" s="71"/>
      <c r="S202" s="71"/>
      <c r="T202" s="71"/>
      <c r="U202" s="71"/>
      <c r="W202"/>
    </row>
    <row r="203" spans="3:23" ht="13.9" customHeight="1">
      <c r="C203" s="69">
        <v>1033776499</v>
      </c>
      <c r="D203" s="70">
        <v>58</v>
      </c>
      <c r="E203" s="70">
        <v>36382</v>
      </c>
      <c r="F203" s="70" t="s">
        <v>341</v>
      </c>
      <c r="G203" s="70" t="s">
        <v>397</v>
      </c>
      <c r="H203" s="70" t="s">
        <v>116</v>
      </c>
      <c r="I203" s="70">
        <v>9003</v>
      </c>
      <c r="J203" s="71">
        <f>VLOOKUP(C203,'Base ejecuciones Oct-17 (2)'!A193:M688,2,0)</f>
        <v>46</v>
      </c>
      <c r="K203" s="71"/>
      <c r="L203" s="71">
        <f>VLOOKUP(C203,'Base ejecuciones Oct-17 (2)'!A194:M688,4,0)</f>
        <v>3</v>
      </c>
      <c r="M203" s="71"/>
      <c r="N203" s="71"/>
      <c r="O203" s="71"/>
      <c r="P203" s="71"/>
      <c r="Q203" s="71"/>
      <c r="R203" s="71"/>
      <c r="S203" s="71"/>
      <c r="T203" s="71"/>
      <c r="U203" s="71"/>
      <c r="W203"/>
    </row>
    <row r="204" spans="3:23" ht="13.9" customHeight="1">
      <c r="C204" s="69">
        <v>1095938036</v>
      </c>
      <c r="D204" s="70">
        <v>133</v>
      </c>
      <c r="E204" s="70">
        <v>37457</v>
      </c>
      <c r="F204" s="70" t="s">
        <v>398</v>
      </c>
      <c r="G204" s="70" t="s">
        <v>399</v>
      </c>
      <c r="H204" s="70" t="s">
        <v>86</v>
      </c>
      <c r="I204" s="70">
        <v>9008</v>
      </c>
      <c r="J204" s="71">
        <f>VLOOKUP(C204,'Base ejecuciones Oct-17 (2)'!A194:M689,2,0)</f>
        <v>54</v>
      </c>
      <c r="K204" s="71"/>
      <c r="L204" s="71">
        <f>VLOOKUP(C204,'Base ejecuciones Oct-17 (2)'!A195:M689,4,0)</f>
        <v>9</v>
      </c>
      <c r="M204" s="71"/>
      <c r="N204" s="71"/>
      <c r="O204" s="71"/>
      <c r="P204" s="71"/>
      <c r="Q204" s="71"/>
      <c r="R204" s="71"/>
      <c r="S204" s="71"/>
      <c r="T204" s="71"/>
      <c r="U204" s="71"/>
      <c r="W204"/>
    </row>
    <row r="205" spans="3:23" ht="13.9" customHeight="1">
      <c r="C205" s="69">
        <v>98641807</v>
      </c>
      <c r="D205" s="70">
        <v>952</v>
      </c>
      <c r="E205" s="70">
        <v>8280</v>
      </c>
      <c r="F205" s="70" t="s">
        <v>157</v>
      </c>
      <c r="G205" s="70" t="s">
        <v>400</v>
      </c>
      <c r="H205" s="70" t="s">
        <v>86</v>
      </c>
      <c r="I205" s="70">
        <v>9007</v>
      </c>
      <c r="J205" s="71">
        <f>VLOOKUP(C205,'Base ejecuciones Oct-17 (2)'!A195:M690,2,0)</f>
        <v>42</v>
      </c>
      <c r="K205" s="71"/>
      <c r="L205" s="71">
        <f>VLOOKUP(C205,'Base ejecuciones Oct-17 (2)'!A196:M690,4,0)</f>
        <v>8</v>
      </c>
      <c r="M205" s="71"/>
      <c r="N205" s="71"/>
      <c r="O205" s="71"/>
      <c r="P205" s="71"/>
      <c r="Q205" s="71"/>
      <c r="R205" s="71"/>
      <c r="S205" s="71"/>
      <c r="T205" s="71"/>
      <c r="U205" s="71"/>
      <c r="W205"/>
    </row>
    <row r="206" spans="3:23" ht="13.9" customHeight="1">
      <c r="C206" s="69">
        <v>1026251399</v>
      </c>
      <c r="D206" s="70">
        <v>16</v>
      </c>
      <c r="E206" s="70">
        <v>9201</v>
      </c>
      <c r="F206" s="70" t="s">
        <v>105</v>
      </c>
      <c r="G206" s="70" t="s">
        <v>401</v>
      </c>
      <c r="H206" s="70" t="s">
        <v>86</v>
      </c>
      <c r="I206" s="70">
        <v>9003</v>
      </c>
      <c r="J206" s="71">
        <f>VLOOKUP(C206,'Base ejecuciones Oct-17 (2)'!A196:M691,2,0)</f>
        <v>0</v>
      </c>
      <c r="K206" s="71"/>
      <c r="L206" s="71">
        <f>VLOOKUP(C206,'Base ejecuciones Oct-17 (2)'!A197:M691,4,0)</f>
        <v>0</v>
      </c>
      <c r="M206" s="71"/>
      <c r="N206" s="71"/>
      <c r="O206" s="71"/>
      <c r="P206" s="71"/>
      <c r="Q206" s="71"/>
      <c r="R206" s="71"/>
      <c r="S206" s="71"/>
      <c r="T206" s="71"/>
      <c r="U206" s="71"/>
      <c r="W206"/>
    </row>
    <row r="207" spans="3:23" ht="13.9" customHeight="1">
      <c r="C207" s="69">
        <v>37088011</v>
      </c>
      <c r="D207" s="70">
        <v>163</v>
      </c>
      <c r="E207" s="70">
        <v>20653</v>
      </c>
      <c r="F207" s="70" t="s">
        <v>235</v>
      </c>
      <c r="G207" s="70" t="s">
        <v>402</v>
      </c>
      <c r="H207" s="70" t="s">
        <v>86</v>
      </c>
      <c r="I207" s="70">
        <v>9006</v>
      </c>
      <c r="J207" s="71">
        <f>VLOOKUP(C207,'Base ejecuciones Oct-17 (2)'!A197:M692,2,0)</f>
        <v>69</v>
      </c>
      <c r="K207" s="71"/>
      <c r="L207" s="71">
        <f>VLOOKUP(C207,'Base ejecuciones Oct-17 (2)'!A198:M692,4,0)</f>
        <v>16</v>
      </c>
      <c r="M207" s="71"/>
      <c r="N207" s="71"/>
      <c r="O207" s="71"/>
      <c r="P207" s="71"/>
      <c r="Q207" s="71"/>
      <c r="R207" s="71"/>
      <c r="S207" s="71"/>
      <c r="T207" s="71"/>
      <c r="U207" s="71"/>
      <c r="W207"/>
    </row>
    <row r="208" spans="3:23" ht="13.9" customHeight="1">
      <c r="C208" s="69">
        <v>52821424</v>
      </c>
      <c r="D208" s="70">
        <v>791</v>
      </c>
      <c r="E208" s="70">
        <v>8501</v>
      </c>
      <c r="F208" s="70" t="s">
        <v>403</v>
      </c>
      <c r="G208" s="70" t="s">
        <v>404</v>
      </c>
      <c r="H208" s="70" t="s">
        <v>86</v>
      </c>
      <c r="I208" s="70">
        <v>9001</v>
      </c>
      <c r="J208" s="71">
        <f>VLOOKUP(C208,'Base ejecuciones Oct-17 (2)'!A198:M693,2,0)</f>
        <v>66</v>
      </c>
      <c r="K208" s="71"/>
      <c r="L208" s="71">
        <f>VLOOKUP(C208,'Base ejecuciones Oct-17 (2)'!A199:M693,4,0)</f>
        <v>17</v>
      </c>
      <c r="M208" s="71"/>
      <c r="N208" s="71"/>
      <c r="O208" s="71"/>
      <c r="P208" s="71"/>
      <c r="Q208" s="71"/>
      <c r="R208" s="71"/>
      <c r="S208" s="71"/>
      <c r="T208" s="71"/>
      <c r="U208" s="71"/>
      <c r="W208"/>
    </row>
    <row r="209" spans="3:23" ht="13.9" customHeight="1">
      <c r="C209" s="69">
        <v>1014265758</v>
      </c>
      <c r="D209" s="70">
        <v>792</v>
      </c>
      <c r="E209" s="70">
        <v>34786</v>
      </c>
      <c r="F209" s="70" t="s">
        <v>127</v>
      </c>
      <c r="G209" s="70" t="s">
        <v>405</v>
      </c>
      <c r="H209" s="70" t="s">
        <v>86</v>
      </c>
      <c r="I209" s="70">
        <v>9002</v>
      </c>
      <c r="J209" s="71">
        <f>VLOOKUP(C209,'Base ejecuciones Oct-17 (2)'!A199:M694,2,0)</f>
        <v>78</v>
      </c>
      <c r="K209" s="71"/>
      <c r="L209" s="71">
        <f>VLOOKUP(C209,'Base ejecuciones Oct-17 (2)'!A200:M694,4,0)</f>
        <v>12</v>
      </c>
      <c r="M209" s="71"/>
      <c r="N209" s="71"/>
      <c r="O209" s="71"/>
      <c r="P209" s="71"/>
      <c r="Q209" s="71"/>
      <c r="R209" s="71"/>
      <c r="S209" s="71"/>
      <c r="T209" s="71"/>
      <c r="U209" s="71"/>
      <c r="W209"/>
    </row>
    <row r="210" spans="3:23" ht="13.9" customHeight="1">
      <c r="C210" s="69">
        <v>65752276</v>
      </c>
      <c r="D210" s="70">
        <v>121</v>
      </c>
      <c r="E210" s="70">
        <v>8105</v>
      </c>
      <c r="F210" s="70" t="s">
        <v>406</v>
      </c>
      <c r="G210" s="70" t="s">
        <v>407</v>
      </c>
      <c r="H210" s="70" t="s">
        <v>86</v>
      </c>
      <c r="I210" s="70">
        <v>9009</v>
      </c>
      <c r="J210" s="71">
        <f>VLOOKUP(C210,'Base ejecuciones Oct-17 (2)'!A200:M695,2,0)</f>
        <v>71</v>
      </c>
      <c r="K210" s="71"/>
      <c r="L210" s="71">
        <f>VLOOKUP(C210,'Base ejecuciones Oct-17 (2)'!A201:M695,4,0)</f>
        <v>16</v>
      </c>
      <c r="M210" s="71"/>
      <c r="N210" s="71"/>
      <c r="O210" s="71"/>
      <c r="P210" s="71"/>
      <c r="Q210" s="71"/>
      <c r="R210" s="71"/>
      <c r="S210" s="71"/>
      <c r="T210" s="71"/>
      <c r="U210" s="71"/>
      <c r="W210"/>
    </row>
    <row r="211" spans="3:23" ht="13.9" customHeight="1">
      <c r="C211" s="69">
        <v>1115067117</v>
      </c>
      <c r="D211" s="70">
        <v>887</v>
      </c>
      <c r="E211" s="70">
        <v>38268</v>
      </c>
      <c r="F211" s="70" t="s">
        <v>408</v>
      </c>
      <c r="G211" s="70" t="s">
        <v>409</v>
      </c>
      <c r="H211" s="70" t="s">
        <v>86</v>
      </c>
      <c r="I211" s="70">
        <v>9006</v>
      </c>
      <c r="J211" s="71">
        <f>VLOOKUP(C211,'Base ejecuciones Oct-17 (2)'!A201:M696,2,0)</f>
        <v>70</v>
      </c>
      <c r="K211" s="71"/>
      <c r="L211" s="71">
        <f>VLOOKUP(C211,'Base ejecuciones Oct-17 (2)'!A202:M696,4,0)</f>
        <v>12</v>
      </c>
      <c r="M211" s="71"/>
      <c r="N211" s="71"/>
      <c r="O211" s="71"/>
      <c r="P211" s="71"/>
      <c r="Q211" s="71"/>
      <c r="R211" s="71"/>
      <c r="S211" s="71"/>
      <c r="T211" s="71"/>
      <c r="U211" s="71"/>
      <c r="W211"/>
    </row>
    <row r="212" spans="3:23" ht="13.9" customHeight="1">
      <c r="C212" s="69">
        <v>1023917311</v>
      </c>
      <c r="D212" s="70">
        <v>700</v>
      </c>
      <c r="E212" s="70">
        <v>36854</v>
      </c>
      <c r="F212" s="70" t="s">
        <v>410</v>
      </c>
      <c r="G212" s="70" t="s">
        <v>411</v>
      </c>
      <c r="H212" s="70" t="s">
        <v>116</v>
      </c>
      <c r="I212" s="70">
        <v>9001</v>
      </c>
      <c r="J212" s="71">
        <f>VLOOKUP(C212,'Base ejecuciones Oct-17 (2)'!A202:M697,2,0)</f>
        <v>39</v>
      </c>
      <c r="K212" s="71"/>
      <c r="L212" s="71">
        <f>VLOOKUP(C212,'Base ejecuciones Oct-17 (2)'!A203:M697,4,0)</f>
        <v>7</v>
      </c>
      <c r="M212" s="71"/>
      <c r="N212" s="71"/>
      <c r="O212" s="71"/>
      <c r="P212" s="71"/>
      <c r="Q212" s="71"/>
      <c r="R212" s="71"/>
      <c r="S212" s="71"/>
      <c r="T212" s="71"/>
      <c r="U212" s="71"/>
      <c r="W212"/>
    </row>
    <row r="213" spans="3:23" ht="13.9" customHeight="1">
      <c r="C213" s="69">
        <v>1129578041</v>
      </c>
      <c r="D213" s="70">
        <v>700</v>
      </c>
      <c r="E213" s="70">
        <v>9221</v>
      </c>
      <c r="F213" s="70" t="s">
        <v>410</v>
      </c>
      <c r="G213" s="70" t="s">
        <v>412</v>
      </c>
      <c r="H213" s="70" t="s">
        <v>86</v>
      </c>
      <c r="I213" s="70">
        <v>9001</v>
      </c>
      <c r="J213" s="71">
        <f>VLOOKUP(C213,'Base ejecuciones Oct-17 (2)'!A203:M698,2,0)</f>
        <v>28</v>
      </c>
      <c r="K213" s="71"/>
      <c r="L213" s="71">
        <f>VLOOKUP(C213,'Base ejecuciones Oct-17 (2)'!A204:M698,4,0)</f>
        <v>4</v>
      </c>
      <c r="M213" s="71"/>
      <c r="N213" s="71"/>
      <c r="O213" s="71"/>
      <c r="P213" s="71"/>
      <c r="Q213" s="71"/>
      <c r="R213" s="71"/>
      <c r="S213" s="71"/>
      <c r="T213" s="71"/>
      <c r="U213" s="71"/>
      <c r="W213"/>
    </row>
    <row r="214" spans="3:23" ht="13.9" customHeight="1">
      <c r="C214" s="69">
        <v>1015407301</v>
      </c>
      <c r="D214" s="70">
        <v>280</v>
      </c>
      <c r="E214" s="70">
        <v>9514</v>
      </c>
      <c r="F214" s="70" t="s">
        <v>91</v>
      </c>
      <c r="G214" s="70" t="s">
        <v>413</v>
      </c>
      <c r="H214" s="70" t="s">
        <v>86</v>
      </c>
      <c r="I214" s="70">
        <v>9003</v>
      </c>
      <c r="J214" s="71">
        <f>VLOOKUP(C214,'Base ejecuciones Oct-17 (2)'!A204:M699,2,0)</f>
        <v>41</v>
      </c>
      <c r="K214" s="71"/>
      <c r="L214" s="71">
        <f>VLOOKUP(C214,'Base ejecuciones Oct-17 (2)'!A205:M699,4,0)</f>
        <v>10</v>
      </c>
      <c r="M214" s="71"/>
      <c r="N214" s="71"/>
      <c r="O214" s="71"/>
      <c r="P214" s="71"/>
      <c r="Q214" s="71"/>
      <c r="R214" s="71"/>
      <c r="S214" s="71"/>
      <c r="T214" s="71"/>
      <c r="U214" s="71"/>
      <c r="W214"/>
    </row>
    <row r="215" spans="3:23" ht="13.9" customHeight="1">
      <c r="C215" s="69">
        <v>52018557</v>
      </c>
      <c r="D215" s="70">
        <v>33</v>
      </c>
      <c r="E215" s="70">
        <v>8034</v>
      </c>
      <c r="F215" s="70" t="s">
        <v>135</v>
      </c>
      <c r="G215" s="70" t="s">
        <v>414</v>
      </c>
      <c r="H215" s="70" t="s">
        <v>86</v>
      </c>
      <c r="I215" s="70">
        <v>9001</v>
      </c>
      <c r="J215" s="71">
        <f>VLOOKUP(C215,'Base ejecuciones Oct-17 (2)'!A205:M700,2,0)</f>
        <v>71</v>
      </c>
      <c r="K215" s="71"/>
      <c r="L215" s="71">
        <f>VLOOKUP(C215,'Base ejecuciones Oct-17 (2)'!A206:M700,4,0)</f>
        <v>5</v>
      </c>
      <c r="M215" s="71"/>
      <c r="N215" s="71"/>
      <c r="O215" s="71"/>
      <c r="P215" s="71"/>
      <c r="Q215" s="71"/>
      <c r="R215" s="71"/>
      <c r="S215" s="71"/>
      <c r="T215" s="71"/>
      <c r="U215" s="71"/>
      <c r="W215"/>
    </row>
    <row r="216" spans="3:23" ht="13.9" customHeight="1">
      <c r="C216" s="69">
        <v>1016009921</v>
      </c>
      <c r="D216" s="70">
        <v>59</v>
      </c>
      <c r="E216" s="70">
        <v>9192</v>
      </c>
      <c r="F216" s="70" t="s">
        <v>275</v>
      </c>
      <c r="G216" s="70" t="s">
        <v>415</v>
      </c>
      <c r="H216" s="70" t="s">
        <v>86</v>
      </c>
      <c r="I216" s="70">
        <v>9004</v>
      </c>
      <c r="J216" s="71">
        <f>VLOOKUP(C216,'Base ejecuciones Oct-17 (2)'!A206:M701,2,0)</f>
        <v>51</v>
      </c>
      <c r="K216" s="71"/>
      <c r="L216" s="71">
        <f>VLOOKUP(C216,'Base ejecuciones Oct-17 (2)'!A207:M701,4,0)</f>
        <v>7</v>
      </c>
      <c r="M216" s="71"/>
      <c r="N216" s="71"/>
      <c r="O216" s="71"/>
      <c r="P216" s="71"/>
      <c r="Q216" s="71"/>
      <c r="R216" s="71"/>
      <c r="S216" s="71"/>
      <c r="T216" s="71"/>
      <c r="U216" s="71"/>
      <c r="W216"/>
    </row>
    <row r="217" spans="3:23" ht="13.9" customHeight="1">
      <c r="C217" s="69">
        <v>1019067657</v>
      </c>
      <c r="D217" s="70">
        <v>29</v>
      </c>
      <c r="E217" s="70">
        <v>9616</v>
      </c>
      <c r="F217" s="70" t="s">
        <v>159</v>
      </c>
      <c r="G217" s="70" t="s">
        <v>416</v>
      </c>
      <c r="H217" s="70" t="s">
        <v>116</v>
      </c>
      <c r="I217" s="70">
        <v>9001</v>
      </c>
      <c r="J217" s="71">
        <f>VLOOKUP(C217,'Base ejecuciones Oct-17 (2)'!A207:M702,2,0)</f>
        <v>65</v>
      </c>
      <c r="K217" s="71"/>
      <c r="L217" s="71">
        <f>VLOOKUP(C217,'Base ejecuciones Oct-17 (2)'!A208:M702,4,0)</f>
        <v>15</v>
      </c>
      <c r="M217" s="71"/>
      <c r="N217" s="71"/>
      <c r="O217" s="71"/>
      <c r="P217" s="71"/>
      <c r="Q217" s="71"/>
      <c r="R217" s="71"/>
      <c r="S217" s="71"/>
      <c r="T217" s="71"/>
      <c r="U217" s="71"/>
      <c r="W217"/>
    </row>
    <row r="218" spans="3:23" ht="13.9" customHeight="1">
      <c r="C218" s="69">
        <v>1098660043</v>
      </c>
      <c r="D218" s="70">
        <v>133</v>
      </c>
      <c r="E218" s="70">
        <v>31839</v>
      </c>
      <c r="F218" s="70" t="s">
        <v>398</v>
      </c>
      <c r="G218" s="70" t="s">
        <v>417</v>
      </c>
      <c r="H218" s="70" t="s">
        <v>86</v>
      </c>
      <c r="I218" s="70">
        <v>9008</v>
      </c>
      <c r="J218" s="71">
        <f>VLOOKUP(C218,'Base ejecuciones Oct-17 (2)'!A208:M703,2,0)</f>
        <v>21</v>
      </c>
      <c r="K218" s="71"/>
      <c r="L218" s="71">
        <f>VLOOKUP(C218,'Base ejecuciones Oct-17 (2)'!A209:M703,4,0)</f>
        <v>0</v>
      </c>
      <c r="M218" s="71"/>
      <c r="N218" s="71"/>
      <c r="O218" s="71"/>
      <c r="P218" s="71"/>
      <c r="Q218" s="71"/>
      <c r="R218" s="71"/>
      <c r="S218" s="71"/>
      <c r="T218" s="71"/>
      <c r="U218" s="71"/>
      <c r="W218"/>
    </row>
    <row r="219" spans="3:23" ht="13.9" customHeight="1">
      <c r="C219" s="69">
        <v>1015401515</v>
      </c>
      <c r="D219" s="70">
        <v>460</v>
      </c>
      <c r="E219" s="70">
        <v>31344</v>
      </c>
      <c r="F219" s="70" t="s">
        <v>239</v>
      </c>
      <c r="G219" s="70" t="s">
        <v>418</v>
      </c>
      <c r="H219" s="70" t="s">
        <v>116</v>
      </c>
      <c r="I219" s="70">
        <v>9002</v>
      </c>
      <c r="J219" s="71">
        <f>VLOOKUP(C219,'Base ejecuciones Oct-17 (2)'!A209:M704,2,0)</f>
        <v>59</v>
      </c>
      <c r="K219" s="71"/>
      <c r="L219" s="71">
        <f>VLOOKUP(C219,'Base ejecuciones Oct-17 (2)'!A210:M704,4,0)</f>
        <v>10</v>
      </c>
      <c r="M219" s="71"/>
      <c r="N219" s="71"/>
      <c r="O219" s="71"/>
      <c r="P219" s="71"/>
      <c r="Q219" s="71"/>
      <c r="R219" s="71"/>
      <c r="S219" s="71"/>
      <c r="T219" s="71"/>
      <c r="U219" s="71"/>
      <c r="W219"/>
    </row>
    <row r="220" spans="3:23" ht="13.9" customHeight="1">
      <c r="C220" s="69">
        <v>38360495</v>
      </c>
      <c r="D220" s="70">
        <v>274</v>
      </c>
      <c r="E220" s="70">
        <v>20240</v>
      </c>
      <c r="F220" s="70" t="s">
        <v>370</v>
      </c>
      <c r="G220" s="70" t="s">
        <v>419</v>
      </c>
      <c r="H220" s="70" t="s">
        <v>86</v>
      </c>
      <c r="I220" s="70">
        <v>9005</v>
      </c>
      <c r="J220" s="71">
        <f>VLOOKUP(C220,'Base ejecuciones Oct-17 (2)'!A210:M705,2,0)</f>
        <v>103</v>
      </c>
      <c r="K220" s="71"/>
      <c r="L220" s="71">
        <f>VLOOKUP(C220,'Base ejecuciones Oct-17 (2)'!A211:M705,4,0)</f>
        <v>12</v>
      </c>
      <c r="M220" s="71"/>
      <c r="N220" s="71"/>
      <c r="O220" s="71"/>
      <c r="P220" s="71"/>
      <c r="Q220" s="71"/>
      <c r="R220" s="71"/>
      <c r="S220" s="71"/>
      <c r="T220" s="71"/>
      <c r="U220" s="71"/>
      <c r="W220"/>
    </row>
    <row r="221" spans="3:23" ht="13.9" customHeight="1">
      <c r="C221" s="69">
        <v>1017184760</v>
      </c>
      <c r="D221" s="70">
        <v>191</v>
      </c>
      <c r="E221" s="70">
        <v>9314</v>
      </c>
      <c r="F221" s="70" t="s">
        <v>420</v>
      </c>
      <c r="G221" s="70" t="s">
        <v>421</v>
      </c>
      <c r="H221" s="70" t="s">
        <v>86</v>
      </c>
      <c r="I221" s="70">
        <v>9007</v>
      </c>
      <c r="J221" s="71">
        <f>VLOOKUP(C221,'Base ejecuciones Oct-17 (2)'!A211:M706,2,0)</f>
        <v>145</v>
      </c>
      <c r="K221" s="71"/>
      <c r="L221" s="71">
        <f>VLOOKUP(C221,'Base ejecuciones Oct-17 (2)'!A212:M706,4,0)</f>
        <v>7</v>
      </c>
      <c r="M221" s="71"/>
      <c r="N221" s="71"/>
      <c r="O221" s="71"/>
      <c r="P221" s="71"/>
      <c r="Q221" s="71"/>
      <c r="R221" s="71"/>
      <c r="S221" s="71"/>
      <c r="T221" s="71"/>
      <c r="U221" s="71"/>
      <c r="W221"/>
    </row>
    <row r="222" spans="3:23" ht="13.9" customHeight="1">
      <c r="C222" s="69">
        <v>1077855133</v>
      </c>
      <c r="D222" s="70">
        <v>65</v>
      </c>
      <c r="E222" s="70">
        <v>9249</v>
      </c>
      <c r="F222" s="70" t="s">
        <v>192</v>
      </c>
      <c r="G222" s="70" t="s">
        <v>422</v>
      </c>
      <c r="H222" s="70" t="s">
        <v>86</v>
      </c>
      <c r="I222" s="70">
        <v>9004</v>
      </c>
      <c r="J222" s="71">
        <f>VLOOKUP(C222,'Base ejecuciones Oct-17 (2)'!A212:M707,2,0)</f>
        <v>0</v>
      </c>
      <c r="K222" s="71"/>
      <c r="L222" s="71">
        <f>VLOOKUP(C222,'Base ejecuciones Oct-17 (2)'!A213:M707,4,0)</f>
        <v>0</v>
      </c>
      <c r="M222" s="71"/>
      <c r="N222" s="71"/>
      <c r="O222" s="71"/>
      <c r="P222" s="71"/>
      <c r="Q222" s="71"/>
      <c r="R222" s="71"/>
      <c r="S222" s="71"/>
      <c r="T222" s="71"/>
      <c r="U222" s="71"/>
      <c r="W222"/>
    </row>
    <row r="223" spans="3:23" ht="13.9" customHeight="1">
      <c r="C223" s="69">
        <v>1031134500</v>
      </c>
      <c r="D223" s="70">
        <v>65</v>
      </c>
      <c r="E223" s="70">
        <v>9995</v>
      </c>
      <c r="F223" s="70" t="s">
        <v>192</v>
      </c>
      <c r="G223" s="70" t="s">
        <v>423</v>
      </c>
      <c r="H223" s="70" t="s">
        <v>86</v>
      </c>
      <c r="I223" s="70">
        <v>9004</v>
      </c>
      <c r="J223" s="71">
        <f>VLOOKUP(C223,'Base ejecuciones Oct-17 (2)'!A213:M708,2,0)</f>
        <v>47</v>
      </c>
      <c r="K223" s="71"/>
      <c r="L223" s="71">
        <f>VLOOKUP(C223,'Base ejecuciones Oct-17 (2)'!A214:M708,4,0)</f>
        <v>7</v>
      </c>
      <c r="M223" s="71"/>
      <c r="N223" s="71"/>
      <c r="O223" s="71"/>
      <c r="P223" s="71"/>
      <c r="Q223" s="71"/>
      <c r="R223" s="71"/>
      <c r="S223" s="71"/>
      <c r="T223" s="71"/>
      <c r="U223" s="71"/>
      <c r="W223"/>
    </row>
    <row r="224" spans="3:23" ht="13.9" customHeight="1">
      <c r="C224" s="69">
        <v>1053833641</v>
      </c>
      <c r="D224" s="70">
        <v>219</v>
      </c>
      <c r="E224" s="70">
        <v>10503</v>
      </c>
      <c r="F224" s="70" t="s">
        <v>291</v>
      </c>
      <c r="G224" s="70" t="s">
        <v>424</v>
      </c>
      <c r="H224" s="70" t="s">
        <v>86</v>
      </c>
      <c r="I224" s="70">
        <v>9005</v>
      </c>
      <c r="J224" s="71">
        <f>VLOOKUP(C224,'Base ejecuciones Oct-17 (2)'!A214:M709,2,0)</f>
        <v>18</v>
      </c>
      <c r="K224" s="71"/>
      <c r="L224" s="71">
        <f>VLOOKUP(C224,'Base ejecuciones Oct-17 (2)'!A215:M709,4,0)</f>
        <v>2</v>
      </c>
      <c r="M224" s="71"/>
      <c r="N224" s="71"/>
      <c r="O224" s="71"/>
      <c r="P224" s="71"/>
      <c r="Q224" s="71"/>
      <c r="R224" s="71"/>
      <c r="S224" s="71"/>
      <c r="T224" s="71"/>
      <c r="U224" s="71"/>
      <c r="W224"/>
    </row>
    <row r="225" spans="3:23" ht="13.9" customHeight="1">
      <c r="C225" s="69">
        <v>1044422356</v>
      </c>
      <c r="D225" s="70">
        <v>116</v>
      </c>
      <c r="E225" s="70">
        <v>37483</v>
      </c>
      <c r="F225" s="70" t="s">
        <v>278</v>
      </c>
      <c r="G225" s="70" t="s">
        <v>425</v>
      </c>
      <c r="H225" s="70" t="s">
        <v>86</v>
      </c>
      <c r="I225" s="70">
        <v>9009</v>
      </c>
      <c r="J225" s="71">
        <f>VLOOKUP(C225,'Base ejecuciones Oct-17 (2)'!A215:M710,2,0)</f>
        <v>47</v>
      </c>
      <c r="K225" s="71"/>
      <c r="L225" s="71">
        <f>VLOOKUP(C225,'Base ejecuciones Oct-17 (2)'!A216:M710,4,0)</f>
        <v>11</v>
      </c>
      <c r="M225" s="71"/>
      <c r="N225" s="71"/>
      <c r="O225" s="71"/>
      <c r="P225" s="71"/>
      <c r="Q225" s="71"/>
      <c r="R225" s="71"/>
      <c r="S225" s="71"/>
      <c r="T225" s="71"/>
      <c r="U225" s="71"/>
      <c r="W225"/>
    </row>
    <row r="226" spans="3:23" ht="13.9" customHeight="1">
      <c r="C226" s="69">
        <v>29286986</v>
      </c>
      <c r="D226" s="70">
        <v>887</v>
      </c>
      <c r="E226" s="70">
        <v>8828</v>
      </c>
      <c r="F226" s="70" t="s">
        <v>408</v>
      </c>
      <c r="G226" s="70" t="s">
        <v>426</v>
      </c>
      <c r="H226" s="70" t="s">
        <v>86</v>
      </c>
      <c r="I226" s="70">
        <v>9006</v>
      </c>
      <c r="J226" s="71">
        <f>VLOOKUP(C226,'Base ejecuciones Oct-17 (2)'!A216:M711,2,0)</f>
        <v>66</v>
      </c>
      <c r="K226" s="71"/>
      <c r="L226" s="71">
        <f>VLOOKUP(C226,'Base ejecuciones Oct-17 (2)'!A217:M711,4,0)</f>
        <v>9</v>
      </c>
      <c r="M226" s="71"/>
      <c r="N226" s="71"/>
      <c r="O226" s="71"/>
      <c r="P226" s="71"/>
      <c r="Q226" s="71"/>
      <c r="R226" s="71"/>
      <c r="S226" s="71"/>
      <c r="T226" s="71"/>
      <c r="U226" s="71"/>
      <c r="W226"/>
    </row>
    <row r="227" spans="3:23" ht="13.9" customHeight="1">
      <c r="C227" s="69">
        <v>1098658423</v>
      </c>
      <c r="D227" s="70">
        <v>131</v>
      </c>
      <c r="E227" s="70">
        <v>36987</v>
      </c>
      <c r="F227" s="70" t="s">
        <v>121</v>
      </c>
      <c r="G227" s="70" t="s">
        <v>427</v>
      </c>
      <c r="H227" s="70" t="s">
        <v>86</v>
      </c>
      <c r="I227" s="70">
        <v>9008</v>
      </c>
      <c r="J227" s="71">
        <f>VLOOKUP(C227,'Base ejecuciones Oct-17 (2)'!A217:M712,2,0)</f>
        <v>58</v>
      </c>
      <c r="K227" s="71"/>
      <c r="L227" s="71">
        <f>VLOOKUP(C227,'Base ejecuciones Oct-17 (2)'!A218:M712,4,0)</f>
        <v>15</v>
      </c>
      <c r="M227" s="71"/>
      <c r="N227" s="71"/>
      <c r="O227" s="71"/>
      <c r="P227" s="71"/>
      <c r="Q227" s="71"/>
      <c r="R227" s="71"/>
      <c r="S227" s="71"/>
      <c r="T227" s="71"/>
      <c r="U227" s="71"/>
      <c r="W227"/>
    </row>
    <row r="228" spans="3:23" ht="13.9" customHeight="1">
      <c r="C228" s="69">
        <v>1017187072</v>
      </c>
      <c r="D228" s="70">
        <v>185</v>
      </c>
      <c r="E228" s="70">
        <v>38221</v>
      </c>
      <c r="F228" s="70" t="s">
        <v>294</v>
      </c>
      <c r="G228" s="70" t="s">
        <v>428</v>
      </c>
      <c r="H228" s="70" t="s">
        <v>86</v>
      </c>
      <c r="I228" s="70">
        <v>9007</v>
      </c>
      <c r="J228" s="71">
        <f>VLOOKUP(C228,'Base ejecuciones Oct-17 (2)'!A218:M713,2,0)</f>
        <v>54</v>
      </c>
      <c r="K228" s="71"/>
      <c r="L228" s="71">
        <f>VLOOKUP(C228,'Base ejecuciones Oct-17 (2)'!A219:M713,4,0)</f>
        <v>6</v>
      </c>
      <c r="M228" s="71"/>
      <c r="N228" s="71"/>
      <c r="O228" s="71"/>
      <c r="P228" s="71"/>
      <c r="Q228" s="71"/>
      <c r="R228" s="71"/>
      <c r="S228" s="71"/>
      <c r="T228" s="71"/>
      <c r="U228" s="71"/>
      <c r="W228"/>
    </row>
    <row r="229" spans="3:23" ht="13.9" customHeight="1">
      <c r="C229" s="69">
        <v>28191995</v>
      </c>
      <c r="D229" s="70">
        <v>81</v>
      </c>
      <c r="E229" s="70">
        <v>8019</v>
      </c>
      <c r="F229" s="70" t="s">
        <v>429</v>
      </c>
      <c r="G229" s="70" t="s">
        <v>430</v>
      </c>
      <c r="H229" s="70" t="s">
        <v>86</v>
      </c>
      <c r="I229" s="70">
        <v>9001</v>
      </c>
      <c r="J229" s="71">
        <f>VLOOKUP(C229,'Base ejecuciones Oct-17 (2)'!A219:M714,2,0)</f>
        <v>50</v>
      </c>
      <c r="K229" s="71"/>
      <c r="L229" s="71">
        <f>VLOOKUP(C229,'Base ejecuciones Oct-17 (2)'!A220:M714,4,0)</f>
        <v>10</v>
      </c>
      <c r="M229" s="71"/>
      <c r="N229" s="71"/>
      <c r="O229" s="71"/>
      <c r="P229" s="71"/>
      <c r="Q229" s="71"/>
      <c r="R229" s="71"/>
      <c r="S229" s="71"/>
      <c r="T229" s="71"/>
      <c r="U229" s="71"/>
      <c r="W229"/>
    </row>
    <row r="230" spans="3:23" ht="13.9" customHeight="1">
      <c r="C230" s="69">
        <v>1019081634</v>
      </c>
      <c r="D230" s="70">
        <v>25</v>
      </c>
      <c r="E230" s="70">
        <v>31235</v>
      </c>
      <c r="F230" s="70" t="s">
        <v>207</v>
      </c>
      <c r="G230" s="70" t="s">
        <v>431</v>
      </c>
      <c r="H230" s="70" t="s">
        <v>116</v>
      </c>
      <c r="I230" s="70">
        <v>9001</v>
      </c>
      <c r="J230" s="71">
        <f>VLOOKUP(C230,'Base ejecuciones Oct-17 (2)'!A220:M715,2,0)</f>
        <v>49</v>
      </c>
      <c r="K230" s="71"/>
      <c r="L230" s="71">
        <f>VLOOKUP(C230,'Base ejecuciones Oct-17 (2)'!A221:M715,4,0)</f>
        <v>9</v>
      </c>
      <c r="M230" s="71"/>
      <c r="N230" s="71"/>
      <c r="O230" s="71"/>
      <c r="P230" s="71"/>
      <c r="Q230" s="71"/>
      <c r="R230" s="71"/>
      <c r="S230" s="71"/>
      <c r="T230" s="71"/>
      <c r="U230" s="71"/>
      <c r="W230"/>
    </row>
    <row r="231" spans="3:23" ht="13.9" customHeight="1">
      <c r="C231" s="69">
        <v>1057544312</v>
      </c>
      <c r="D231" s="70">
        <v>84</v>
      </c>
      <c r="E231" s="70">
        <v>9827</v>
      </c>
      <c r="F231" s="70" t="s">
        <v>432</v>
      </c>
      <c r="G231" s="70" t="s">
        <v>433</v>
      </c>
      <c r="H231" s="70" t="s">
        <v>86</v>
      </c>
      <c r="I231" s="70">
        <v>9008</v>
      </c>
      <c r="J231" s="71">
        <f>VLOOKUP(C231,'Base ejecuciones Oct-17 (2)'!A221:M716,2,0)</f>
        <v>96</v>
      </c>
      <c r="K231" s="71"/>
      <c r="L231" s="71">
        <f>VLOOKUP(C231,'Base ejecuciones Oct-17 (2)'!A222:M716,4,0)</f>
        <v>4</v>
      </c>
      <c r="M231" s="71"/>
      <c r="N231" s="71"/>
      <c r="O231" s="71"/>
      <c r="P231" s="71"/>
      <c r="Q231" s="71"/>
      <c r="R231" s="71"/>
      <c r="S231" s="71"/>
      <c r="T231" s="71"/>
      <c r="U231" s="71"/>
      <c r="W231"/>
    </row>
    <row r="232" spans="3:23" ht="13.9" customHeight="1">
      <c r="C232" s="69">
        <v>98482964</v>
      </c>
      <c r="D232" s="70">
        <v>790</v>
      </c>
      <c r="E232" s="70">
        <v>37129</v>
      </c>
      <c r="F232" s="70" t="s">
        <v>434</v>
      </c>
      <c r="G232" s="70" t="s">
        <v>435</v>
      </c>
      <c r="H232" s="70" t="s">
        <v>86</v>
      </c>
      <c r="I232" s="70">
        <v>9007</v>
      </c>
      <c r="J232" s="71">
        <f>VLOOKUP(C232,'Base ejecuciones Oct-17 (2)'!A222:M717,2,0)</f>
        <v>61</v>
      </c>
      <c r="K232" s="71"/>
      <c r="L232" s="71">
        <f>VLOOKUP(C232,'Base ejecuciones Oct-17 (2)'!A223:M717,4,0)</f>
        <v>12</v>
      </c>
      <c r="M232" s="71"/>
      <c r="N232" s="71"/>
      <c r="O232" s="71"/>
      <c r="P232" s="71"/>
      <c r="Q232" s="71"/>
      <c r="R232" s="71"/>
      <c r="S232" s="71"/>
      <c r="T232" s="71"/>
      <c r="U232" s="71"/>
      <c r="W232"/>
    </row>
    <row r="233" spans="3:23" ht="13.9" customHeight="1">
      <c r="C233" s="69">
        <v>1070752003</v>
      </c>
      <c r="D233" s="70">
        <v>634</v>
      </c>
      <c r="E233" s="70">
        <v>8434</v>
      </c>
      <c r="F233" s="70" t="s">
        <v>224</v>
      </c>
      <c r="G233" s="70" t="s">
        <v>436</v>
      </c>
      <c r="H233" s="70" t="s">
        <v>86</v>
      </c>
      <c r="I233" s="70">
        <v>9001</v>
      </c>
      <c r="J233" s="71">
        <f>VLOOKUP(C233,'Base ejecuciones Oct-17 (2)'!A223:M718,2,0)</f>
        <v>103</v>
      </c>
      <c r="K233" s="71"/>
      <c r="L233" s="71">
        <f>VLOOKUP(C233,'Base ejecuciones Oct-17 (2)'!A224:M718,4,0)</f>
        <v>16</v>
      </c>
      <c r="M233" s="71"/>
      <c r="N233" s="71"/>
      <c r="O233" s="71"/>
      <c r="P233" s="71"/>
      <c r="Q233" s="71"/>
      <c r="R233" s="71"/>
      <c r="S233" s="71"/>
      <c r="T233" s="71"/>
      <c r="U233" s="71"/>
      <c r="W233"/>
    </row>
    <row r="234" spans="3:23" ht="13.9" customHeight="1">
      <c r="C234" s="69">
        <v>1140816983</v>
      </c>
      <c r="D234" s="70">
        <v>627</v>
      </c>
      <c r="E234" s="70">
        <v>37452</v>
      </c>
      <c r="F234" s="70" t="s">
        <v>437</v>
      </c>
      <c r="G234" s="70" t="s">
        <v>438</v>
      </c>
      <c r="H234" s="70" t="s">
        <v>86</v>
      </c>
      <c r="I234" s="70">
        <v>9009</v>
      </c>
      <c r="J234" s="71">
        <f>VLOOKUP(C234,'Base ejecuciones Oct-17 (2)'!A224:M719,2,0)</f>
        <v>31</v>
      </c>
      <c r="K234" s="71"/>
      <c r="L234" s="71">
        <f>VLOOKUP(C234,'Base ejecuciones Oct-17 (2)'!A225:M719,4,0)</f>
        <v>7</v>
      </c>
      <c r="M234" s="71"/>
      <c r="N234" s="71"/>
      <c r="O234" s="71"/>
      <c r="P234" s="71"/>
      <c r="Q234" s="71"/>
      <c r="R234" s="71"/>
      <c r="S234" s="71"/>
      <c r="T234" s="71"/>
      <c r="U234" s="71"/>
      <c r="W234"/>
    </row>
    <row r="235" spans="3:23" ht="13.9" customHeight="1">
      <c r="C235" s="69">
        <v>1018431873</v>
      </c>
      <c r="D235" s="70">
        <v>58</v>
      </c>
      <c r="E235" s="70">
        <v>9996</v>
      </c>
      <c r="F235" s="70" t="s">
        <v>341</v>
      </c>
      <c r="G235" s="70" t="s">
        <v>439</v>
      </c>
      <c r="H235" s="70" t="s">
        <v>86</v>
      </c>
      <c r="I235" s="70">
        <v>9003</v>
      </c>
      <c r="J235" s="71">
        <f>VLOOKUP(C235,'Base ejecuciones Oct-17 (2)'!A225:M720,2,0)</f>
        <v>37</v>
      </c>
      <c r="K235" s="71"/>
      <c r="L235" s="71">
        <f>VLOOKUP(C235,'Base ejecuciones Oct-17 (2)'!A226:M720,4,0)</f>
        <v>5</v>
      </c>
      <c r="M235" s="71"/>
      <c r="N235" s="71"/>
      <c r="O235" s="71"/>
      <c r="P235" s="71"/>
      <c r="Q235" s="71"/>
      <c r="R235" s="71"/>
      <c r="S235" s="71"/>
      <c r="T235" s="71"/>
      <c r="U235" s="71"/>
      <c r="W235"/>
    </row>
    <row r="236" spans="3:23" ht="13.9" customHeight="1">
      <c r="C236" s="69">
        <v>1144061668</v>
      </c>
      <c r="D236" s="70">
        <v>141</v>
      </c>
      <c r="E236" s="70">
        <v>9861</v>
      </c>
      <c r="F236" s="70" t="s">
        <v>155</v>
      </c>
      <c r="G236" s="70" t="s">
        <v>440</v>
      </c>
      <c r="H236" s="70" t="s">
        <v>86</v>
      </c>
      <c r="I236" s="70">
        <v>9006</v>
      </c>
      <c r="J236" s="71">
        <f>VLOOKUP(C236,'Base ejecuciones Oct-17 (2)'!A226:M721,2,0)</f>
        <v>37</v>
      </c>
      <c r="K236" s="71"/>
      <c r="L236" s="71">
        <f>VLOOKUP(C236,'Base ejecuciones Oct-17 (2)'!A227:M721,4,0)</f>
        <v>5</v>
      </c>
      <c r="M236" s="71"/>
      <c r="N236" s="71"/>
      <c r="O236" s="71"/>
      <c r="P236" s="71"/>
      <c r="Q236" s="71"/>
      <c r="R236" s="71"/>
      <c r="S236" s="71"/>
      <c r="T236" s="71"/>
      <c r="U236" s="71"/>
      <c r="W236"/>
    </row>
    <row r="237" spans="3:23" ht="13.9" customHeight="1">
      <c r="C237" s="69">
        <v>1035852910</v>
      </c>
      <c r="D237" s="70">
        <v>684</v>
      </c>
      <c r="E237" s="70">
        <v>36813</v>
      </c>
      <c r="F237" s="70" t="s">
        <v>441</v>
      </c>
      <c r="G237" s="70" t="s">
        <v>442</v>
      </c>
      <c r="H237" s="70" t="s">
        <v>86</v>
      </c>
      <c r="I237" s="70">
        <v>9007</v>
      </c>
      <c r="J237" s="71">
        <f>VLOOKUP(C237,'Base ejecuciones Oct-17 (2)'!A227:M722,2,0)</f>
        <v>44</v>
      </c>
      <c r="K237" s="71"/>
      <c r="L237" s="71">
        <f>VLOOKUP(C237,'Base ejecuciones Oct-17 (2)'!A228:M722,4,0)</f>
        <v>10</v>
      </c>
      <c r="M237" s="71"/>
      <c r="N237" s="71"/>
      <c r="O237" s="71"/>
      <c r="P237" s="71"/>
      <c r="Q237" s="71"/>
      <c r="R237" s="71"/>
      <c r="S237" s="71"/>
      <c r="T237" s="71"/>
      <c r="U237" s="71"/>
      <c r="W237"/>
    </row>
    <row r="238" spans="3:23" ht="13.9" customHeight="1">
      <c r="C238" s="69">
        <v>1020782342</v>
      </c>
      <c r="D238" s="70">
        <v>81</v>
      </c>
      <c r="E238" s="70">
        <v>38105</v>
      </c>
      <c r="F238" s="70" t="s">
        <v>429</v>
      </c>
      <c r="G238" s="70" t="s">
        <v>443</v>
      </c>
      <c r="H238" s="70" t="s">
        <v>116</v>
      </c>
      <c r="I238" s="70">
        <v>9001</v>
      </c>
      <c r="J238" s="71">
        <f>VLOOKUP(C238,'Base ejecuciones Oct-17 (2)'!A228:M723,2,0)</f>
        <v>32</v>
      </c>
      <c r="K238" s="71"/>
      <c r="L238" s="71">
        <f>VLOOKUP(C238,'Base ejecuciones Oct-17 (2)'!A229:M723,4,0)</f>
        <v>3</v>
      </c>
      <c r="M238" s="71"/>
      <c r="N238" s="71"/>
      <c r="O238" s="71"/>
      <c r="P238" s="71"/>
      <c r="Q238" s="71"/>
      <c r="R238" s="71"/>
      <c r="S238" s="71"/>
      <c r="T238" s="71"/>
      <c r="U238" s="71"/>
      <c r="W238"/>
    </row>
    <row r="239" spans="3:23" ht="13.9" customHeight="1">
      <c r="C239" s="69">
        <v>1053778051</v>
      </c>
      <c r="D239" s="70">
        <v>971</v>
      </c>
      <c r="E239" s="70">
        <v>9146</v>
      </c>
      <c r="F239" s="70" t="s">
        <v>260</v>
      </c>
      <c r="G239" s="70" t="s">
        <v>444</v>
      </c>
      <c r="H239" s="70" t="s">
        <v>86</v>
      </c>
      <c r="I239" s="70">
        <v>9005</v>
      </c>
      <c r="J239" s="71">
        <f>VLOOKUP(C239,'Base ejecuciones Oct-17 (2)'!A229:M724,2,0)</f>
        <v>71</v>
      </c>
      <c r="K239" s="71"/>
      <c r="L239" s="71">
        <f>VLOOKUP(C239,'Base ejecuciones Oct-17 (2)'!A230:M724,4,0)</f>
        <v>12</v>
      </c>
      <c r="M239" s="71"/>
      <c r="N239" s="71"/>
      <c r="O239" s="71"/>
      <c r="P239" s="71"/>
      <c r="Q239" s="71"/>
      <c r="R239" s="71"/>
      <c r="S239" s="71"/>
      <c r="T239" s="71"/>
      <c r="U239" s="71"/>
      <c r="W239"/>
    </row>
    <row r="240" spans="3:23" ht="13.9" customHeight="1">
      <c r="C240" s="69">
        <v>1085255108</v>
      </c>
      <c r="D240" s="70">
        <v>161</v>
      </c>
      <c r="E240" s="70">
        <v>36146</v>
      </c>
      <c r="F240" s="70" t="s">
        <v>257</v>
      </c>
      <c r="G240" s="70" t="s">
        <v>445</v>
      </c>
      <c r="H240" s="70" t="s">
        <v>86</v>
      </c>
      <c r="I240" s="70">
        <v>9006</v>
      </c>
      <c r="J240" s="71">
        <f>VLOOKUP(C240,'Base ejecuciones Oct-17 (2)'!A230:M725,2,0)</f>
        <v>46</v>
      </c>
      <c r="K240" s="71"/>
      <c r="L240" s="71">
        <f>VLOOKUP(C240,'Base ejecuciones Oct-17 (2)'!A231:M725,4,0)</f>
        <v>11</v>
      </c>
      <c r="M240" s="71"/>
      <c r="N240" s="71"/>
      <c r="O240" s="71"/>
      <c r="P240" s="71"/>
      <c r="Q240" s="71"/>
      <c r="R240" s="71"/>
      <c r="S240" s="71"/>
      <c r="T240" s="71"/>
      <c r="U240" s="71"/>
      <c r="W240"/>
    </row>
    <row r="241" spans="3:23" ht="13.9" customHeight="1">
      <c r="C241" s="69">
        <v>1094924323</v>
      </c>
      <c r="D241" s="70">
        <v>228</v>
      </c>
      <c r="E241" s="70">
        <v>9252</v>
      </c>
      <c r="F241" s="70" t="s">
        <v>89</v>
      </c>
      <c r="G241" s="70" t="s">
        <v>446</v>
      </c>
      <c r="H241" s="70" t="s">
        <v>86</v>
      </c>
      <c r="I241" s="70">
        <v>9005</v>
      </c>
      <c r="J241" s="71">
        <f>VLOOKUP(C241,'Base ejecuciones Oct-17 (2)'!A231:M726,2,0)</f>
        <v>71</v>
      </c>
      <c r="K241" s="71"/>
      <c r="L241" s="71">
        <f>VLOOKUP(C241,'Base ejecuciones Oct-17 (2)'!A232:M726,4,0)</f>
        <v>12</v>
      </c>
      <c r="M241" s="71"/>
      <c r="N241" s="71"/>
      <c r="O241" s="71"/>
      <c r="P241" s="71"/>
      <c r="Q241" s="71"/>
      <c r="R241" s="71"/>
      <c r="S241" s="71"/>
      <c r="T241" s="71"/>
      <c r="U241" s="71"/>
      <c r="W241"/>
    </row>
    <row r="242" spans="3:23" ht="13.9" customHeight="1">
      <c r="C242" s="69">
        <v>1098665338</v>
      </c>
      <c r="D242" s="70">
        <v>871</v>
      </c>
      <c r="E242" s="70">
        <v>31014</v>
      </c>
      <c r="F242" s="70" t="s">
        <v>447</v>
      </c>
      <c r="G242" s="70" t="s">
        <v>448</v>
      </c>
      <c r="H242" s="70" t="s">
        <v>86</v>
      </c>
      <c r="I242" s="70">
        <v>9008</v>
      </c>
      <c r="J242" s="71">
        <f>VLOOKUP(C242,'Base ejecuciones Oct-17 (2)'!A232:M727,2,0)</f>
        <v>66</v>
      </c>
      <c r="K242" s="71"/>
      <c r="L242" s="71">
        <f>VLOOKUP(C242,'Base ejecuciones Oct-17 (2)'!A233:M727,4,0)</f>
        <v>13</v>
      </c>
      <c r="M242" s="71"/>
      <c r="N242" s="71"/>
      <c r="O242" s="71"/>
      <c r="P242" s="71"/>
      <c r="Q242" s="71"/>
      <c r="R242" s="71"/>
      <c r="S242" s="71"/>
      <c r="T242" s="71"/>
      <c r="U242" s="71"/>
      <c r="W242"/>
    </row>
    <row r="243" spans="3:23" ht="13.9" customHeight="1">
      <c r="C243" s="69">
        <v>63255194</v>
      </c>
      <c r="D243" s="70">
        <v>130</v>
      </c>
      <c r="E243" s="70">
        <v>8873</v>
      </c>
      <c r="F243" s="70" t="s">
        <v>177</v>
      </c>
      <c r="G243" s="70" t="s">
        <v>449</v>
      </c>
      <c r="H243" s="70" t="s">
        <v>86</v>
      </c>
      <c r="I243" s="70">
        <v>9008</v>
      </c>
      <c r="J243" s="71">
        <f>VLOOKUP(C243,'Base ejecuciones Oct-17 (2)'!A233:M728,2,0)</f>
        <v>63</v>
      </c>
      <c r="K243" s="71"/>
      <c r="L243" s="71">
        <f>VLOOKUP(C243,'Base ejecuciones Oct-17 (2)'!A234:M728,4,0)</f>
        <v>14</v>
      </c>
      <c r="M243" s="71"/>
      <c r="N243" s="71"/>
      <c r="O243" s="71"/>
      <c r="P243" s="71"/>
      <c r="Q243" s="71"/>
      <c r="R243" s="71"/>
      <c r="S243" s="71"/>
      <c r="T243" s="71"/>
      <c r="U243" s="71"/>
      <c r="W243"/>
    </row>
    <row r="244" spans="3:23" ht="13.9" customHeight="1">
      <c r="C244" s="69">
        <v>1024546322</v>
      </c>
      <c r="D244" s="70">
        <v>53</v>
      </c>
      <c r="E244" s="70">
        <v>9972</v>
      </c>
      <c r="F244" s="70" t="s">
        <v>450</v>
      </c>
      <c r="G244" s="70" t="s">
        <v>451</v>
      </c>
      <c r="H244" s="70" t="s">
        <v>116</v>
      </c>
      <c r="I244" s="70">
        <v>9002</v>
      </c>
      <c r="J244" s="71">
        <f>VLOOKUP(C244,'Base ejecuciones Oct-17 (2)'!A234:M729,2,0)</f>
        <v>62</v>
      </c>
      <c r="K244" s="71"/>
      <c r="L244" s="71">
        <f>VLOOKUP(C244,'Base ejecuciones Oct-17 (2)'!A235:M729,4,0)</f>
        <v>5</v>
      </c>
      <c r="M244" s="71"/>
      <c r="N244" s="71"/>
      <c r="O244" s="71"/>
      <c r="P244" s="71"/>
      <c r="Q244" s="71"/>
      <c r="R244" s="71"/>
      <c r="S244" s="71"/>
      <c r="T244" s="71"/>
      <c r="U244" s="71"/>
      <c r="W244"/>
    </row>
    <row r="245" spans="3:23" ht="13.9" customHeight="1">
      <c r="C245" s="69">
        <v>1076201127</v>
      </c>
      <c r="D245" s="70">
        <v>27</v>
      </c>
      <c r="E245" s="70">
        <v>38433</v>
      </c>
      <c r="F245" s="70" t="s">
        <v>264</v>
      </c>
      <c r="G245" s="70" t="s">
        <v>452</v>
      </c>
      <c r="H245" s="70" t="s">
        <v>86</v>
      </c>
      <c r="I245" s="70">
        <v>9001</v>
      </c>
      <c r="J245" s="71">
        <f>VLOOKUP(C245,'Base ejecuciones Oct-17 (2)'!A235:M730,2,0)</f>
        <v>64</v>
      </c>
      <c r="K245" s="71"/>
      <c r="L245" s="71">
        <f>VLOOKUP(C245,'Base ejecuciones Oct-17 (2)'!A236:M730,4,0)</f>
        <v>3</v>
      </c>
      <c r="M245" s="71"/>
      <c r="N245" s="71"/>
      <c r="O245" s="71"/>
      <c r="P245" s="71"/>
      <c r="Q245" s="71"/>
      <c r="R245" s="71"/>
      <c r="S245" s="71"/>
      <c r="T245" s="71"/>
      <c r="U245" s="71"/>
      <c r="W245"/>
    </row>
    <row r="246" spans="3:23" ht="13.9" customHeight="1">
      <c r="C246" s="69">
        <v>52906413</v>
      </c>
      <c r="D246" s="70">
        <v>634</v>
      </c>
      <c r="E246" s="70">
        <v>37004</v>
      </c>
      <c r="F246" s="70" t="s">
        <v>224</v>
      </c>
      <c r="G246" s="70" t="s">
        <v>453</v>
      </c>
      <c r="H246" s="70" t="s">
        <v>86</v>
      </c>
      <c r="I246" s="70">
        <v>9001</v>
      </c>
      <c r="J246" s="71">
        <f>VLOOKUP(C246,'Base ejecuciones Oct-17 (2)'!A236:M731,2,0)</f>
        <v>81</v>
      </c>
      <c r="K246" s="71"/>
      <c r="L246" s="71">
        <f>VLOOKUP(C246,'Base ejecuciones Oct-17 (2)'!A237:M731,4,0)</f>
        <v>14</v>
      </c>
      <c r="M246" s="71"/>
      <c r="N246" s="71"/>
      <c r="O246" s="71"/>
      <c r="P246" s="71"/>
      <c r="Q246" s="71"/>
      <c r="R246" s="71"/>
      <c r="S246" s="71"/>
      <c r="T246" s="71"/>
      <c r="U246" s="71"/>
      <c r="W246"/>
    </row>
    <row r="247" spans="3:23" ht="13.9" customHeight="1">
      <c r="C247" s="69">
        <v>63539151</v>
      </c>
      <c r="D247" s="70">
        <v>132</v>
      </c>
      <c r="E247" s="70">
        <v>9180</v>
      </c>
      <c r="F247" s="70" t="s">
        <v>217</v>
      </c>
      <c r="G247" s="70" t="s">
        <v>454</v>
      </c>
      <c r="H247" s="70" t="s">
        <v>86</v>
      </c>
      <c r="I247" s="70">
        <v>9008</v>
      </c>
      <c r="J247" s="71">
        <f>VLOOKUP(C247,'Base ejecuciones Oct-17 (2)'!A237:M732,2,0)</f>
        <v>17</v>
      </c>
      <c r="K247" s="71"/>
      <c r="L247" s="71">
        <f>VLOOKUP(C247,'Base ejecuciones Oct-17 (2)'!A238:M732,4,0)</f>
        <v>4</v>
      </c>
      <c r="M247" s="71"/>
      <c r="N247" s="71"/>
      <c r="O247" s="71"/>
      <c r="P247" s="71"/>
      <c r="Q247" s="71"/>
      <c r="R247" s="71"/>
      <c r="S247" s="71"/>
      <c r="T247" s="71"/>
      <c r="U247" s="71"/>
      <c r="W247"/>
    </row>
    <row r="248" spans="3:23" ht="13.9" customHeight="1">
      <c r="C248" s="69">
        <v>1022943576</v>
      </c>
      <c r="D248" s="70">
        <v>443</v>
      </c>
      <c r="E248" s="70">
        <v>9745</v>
      </c>
      <c r="F248" s="70" t="s">
        <v>455</v>
      </c>
      <c r="G248" s="70" t="s">
        <v>456</v>
      </c>
      <c r="H248" s="70" t="s">
        <v>86</v>
      </c>
      <c r="I248" s="70">
        <v>9001</v>
      </c>
      <c r="J248" s="71">
        <f>VLOOKUP(C248,'Base ejecuciones Oct-17 (2)'!A238:M733,2,0)</f>
        <v>88</v>
      </c>
      <c r="K248" s="71"/>
      <c r="L248" s="71">
        <f>VLOOKUP(C248,'Base ejecuciones Oct-17 (2)'!A239:M733,4,0)</f>
        <v>12</v>
      </c>
      <c r="M248" s="71"/>
      <c r="N248" s="71"/>
      <c r="O248" s="71"/>
      <c r="P248" s="71"/>
      <c r="Q248" s="71"/>
      <c r="R248" s="71"/>
      <c r="S248" s="71"/>
      <c r="T248" s="71"/>
      <c r="U248" s="71"/>
      <c r="W248"/>
    </row>
    <row r="249" spans="3:23" ht="13.9" customHeight="1">
      <c r="C249" s="69">
        <v>52542928</v>
      </c>
      <c r="D249" s="70">
        <v>73</v>
      </c>
      <c r="E249" s="70">
        <v>9759</v>
      </c>
      <c r="F249" s="70" t="s">
        <v>87</v>
      </c>
      <c r="G249" s="70" t="s">
        <v>457</v>
      </c>
      <c r="H249" s="70" t="s">
        <v>86</v>
      </c>
      <c r="I249" s="70">
        <v>9004</v>
      </c>
      <c r="J249" s="71">
        <f>VLOOKUP(C249,'Base ejecuciones Oct-17 (2)'!A239:M734,2,0)</f>
        <v>50</v>
      </c>
      <c r="K249" s="71"/>
      <c r="L249" s="71">
        <f>VLOOKUP(C249,'Base ejecuciones Oct-17 (2)'!A240:M734,4,0)</f>
        <v>10</v>
      </c>
      <c r="M249" s="71"/>
      <c r="N249" s="71"/>
      <c r="O249" s="71"/>
      <c r="P249" s="71"/>
      <c r="Q249" s="71"/>
      <c r="R249" s="71"/>
      <c r="S249" s="71"/>
      <c r="T249" s="71"/>
      <c r="U249" s="71"/>
      <c r="W249"/>
    </row>
    <row r="250" spans="3:23" ht="13.9" customHeight="1">
      <c r="C250" s="69">
        <v>1110530481</v>
      </c>
      <c r="D250" s="70">
        <v>274</v>
      </c>
      <c r="E250" s="70">
        <v>37922</v>
      </c>
      <c r="F250" s="70" t="s">
        <v>370</v>
      </c>
      <c r="G250" s="70" t="s">
        <v>458</v>
      </c>
      <c r="H250" s="70" t="s">
        <v>116</v>
      </c>
      <c r="I250" s="70">
        <v>9005</v>
      </c>
      <c r="J250" s="71">
        <f>VLOOKUP(C250,'Base ejecuciones Oct-17 (2)'!A240:M735,2,0)</f>
        <v>100</v>
      </c>
      <c r="K250" s="71"/>
      <c r="L250" s="71">
        <f>VLOOKUP(C250,'Base ejecuciones Oct-17 (2)'!A241:M735,4,0)</f>
        <v>7</v>
      </c>
      <c r="M250" s="71"/>
      <c r="N250" s="71"/>
      <c r="O250" s="71"/>
      <c r="P250" s="71"/>
      <c r="Q250" s="71"/>
      <c r="R250" s="71"/>
      <c r="S250" s="71"/>
      <c r="T250" s="71"/>
      <c r="U250" s="71"/>
      <c r="W250"/>
    </row>
    <row r="251" spans="3:23" ht="13.9" customHeight="1">
      <c r="C251" s="69">
        <v>1018488900</v>
      </c>
      <c r="D251" s="70">
        <v>958</v>
      </c>
      <c r="E251" s="70">
        <v>38412</v>
      </c>
      <c r="F251" s="70" t="s">
        <v>322</v>
      </c>
      <c r="G251" s="70" t="s">
        <v>459</v>
      </c>
      <c r="H251" s="70" t="s">
        <v>86</v>
      </c>
      <c r="I251" s="70">
        <v>9003</v>
      </c>
      <c r="J251" s="71">
        <f>VLOOKUP(C251,'Base ejecuciones Oct-17 (2)'!A241:M736,2,0)</f>
        <v>178</v>
      </c>
      <c r="K251" s="71"/>
      <c r="L251" s="71">
        <f>VLOOKUP(C251,'Base ejecuciones Oct-17 (2)'!A242:M736,4,0)</f>
        <v>9</v>
      </c>
      <c r="M251" s="71"/>
      <c r="N251" s="71"/>
      <c r="O251" s="71"/>
      <c r="P251" s="71"/>
      <c r="Q251" s="71"/>
      <c r="R251" s="71"/>
      <c r="S251" s="71"/>
      <c r="T251" s="71"/>
      <c r="U251" s="71"/>
      <c r="W251"/>
    </row>
    <row r="252" spans="3:23" ht="13.9" customHeight="1">
      <c r="C252" s="69">
        <v>1098674803</v>
      </c>
      <c r="D252" s="70">
        <v>130</v>
      </c>
      <c r="E252" s="70">
        <v>38748</v>
      </c>
      <c r="F252" s="70" t="s">
        <v>177</v>
      </c>
      <c r="G252" s="70" t="s">
        <v>460</v>
      </c>
      <c r="H252" s="70" t="s">
        <v>86</v>
      </c>
      <c r="I252" s="70">
        <v>9008</v>
      </c>
      <c r="J252" s="71">
        <f>VLOOKUP(C252,'Base ejecuciones Oct-17 (2)'!A242:M737,2,0)</f>
        <v>95</v>
      </c>
      <c r="K252" s="71"/>
      <c r="L252" s="71">
        <f>VLOOKUP(C252,'Base ejecuciones Oct-17 (2)'!A243:M737,4,0)</f>
        <v>1</v>
      </c>
      <c r="M252" s="71"/>
      <c r="N252" s="71"/>
      <c r="O252" s="71"/>
      <c r="P252" s="71"/>
      <c r="Q252" s="71"/>
      <c r="R252" s="71"/>
      <c r="S252" s="71"/>
      <c r="T252" s="71"/>
      <c r="U252" s="71"/>
      <c r="W252"/>
    </row>
    <row r="253" spans="3:23" ht="13.9" customHeight="1">
      <c r="C253" s="69">
        <v>1018491895</v>
      </c>
      <c r="D253" s="70">
        <v>66</v>
      </c>
      <c r="E253" s="70">
        <v>36396</v>
      </c>
      <c r="F253" s="70" t="s">
        <v>348</v>
      </c>
      <c r="G253" s="70" t="s">
        <v>461</v>
      </c>
      <c r="H253" s="70" t="s">
        <v>116</v>
      </c>
      <c r="I253" s="70">
        <v>9004</v>
      </c>
      <c r="J253" s="71">
        <f>VLOOKUP(C253,'Base ejecuciones Oct-17 (2)'!A243:M738,2,0)</f>
        <v>61</v>
      </c>
      <c r="K253" s="71"/>
      <c r="L253" s="71">
        <f>VLOOKUP(C253,'Base ejecuciones Oct-17 (2)'!A244:M738,4,0)</f>
        <v>5</v>
      </c>
      <c r="M253" s="71"/>
      <c r="N253" s="71"/>
      <c r="O253" s="71"/>
      <c r="P253" s="71"/>
      <c r="Q253" s="71"/>
      <c r="R253" s="71"/>
      <c r="S253" s="71"/>
      <c r="T253" s="71"/>
      <c r="U253" s="71"/>
      <c r="W253"/>
    </row>
    <row r="254" spans="3:23" ht="13.9" customHeight="1">
      <c r="C254" s="69">
        <v>1018500858</v>
      </c>
      <c r="D254" s="70">
        <v>63</v>
      </c>
      <c r="E254" s="70">
        <v>37245</v>
      </c>
      <c r="F254" s="70" t="s">
        <v>114</v>
      </c>
      <c r="G254" s="70" t="s">
        <v>462</v>
      </c>
      <c r="H254" s="70" t="s">
        <v>116</v>
      </c>
      <c r="I254" s="70">
        <v>9004</v>
      </c>
      <c r="J254" s="71">
        <f>VLOOKUP(C254,'Base ejecuciones Oct-17 (2)'!A244:M739,2,0)</f>
        <v>53</v>
      </c>
      <c r="K254" s="71"/>
      <c r="L254" s="71">
        <f>VLOOKUP(C254,'Base ejecuciones Oct-17 (2)'!A245:M739,4,0)</f>
        <v>8</v>
      </c>
      <c r="M254" s="71"/>
      <c r="N254" s="71"/>
      <c r="O254" s="71"/>
      <c r="P254" s="71"/>
      <c r="Q254" s="71"/>
      <c r="R254" s="71"/>
      <c r="S254" s="71"/>
      <c r="T254" s="71"/>
      <c r="U254" s="71"/>
      <c r="W254"/>
    </row>
    <row r="255" spans="3:23" ht="13.9" customHeight="1">
      <c r="C255" s="69">
        <v>1121918685</v>
      </c>
      <c r="D255" s="70">
        <v>94</v>
      </c>
      <c r="E255" s="70">
        <v>36831</v>
      </c>
      <c r="F255" s="70" t="s">
        <v>117</v>
      </c>
      <c r="G255" s="70" t="s">
        <v>463</v>
      </c>
      <c r="H255" s="70" t="s">
        <v>86</v>
      </c>
      <c r="I255" s="70">
        <v>9008</v>
      </c>
      <c r="J255" s="71">
        <f>VLOOKUP(C255,'Base ejecuciones Oct-17 (2)'!A245:M740,2,0)</f>
        <v>100</v>
      </c>
      <c r="K255" s="71"/>
      <c r="L255" s="71">
        <f>VLOOKUP(C255,'Base ejecuciones Oct-17 (2)'!A246:M740,4,0)</f>
        <v>8</v>
      </c>
      <c r="M255" s="71"/>
      <c r="N255" s="71"/>
      <c r="O255" s="71"/>
      <c r="P255" s="71"/>
      <c r="Q255" s="71"/>
      <c r="R255" s="71"/>
      <c r="S255" s="71"/>
      <c r="T255" s="71"/>
      <c r="U255" s="71"/>
      <c r="W255"/>
    </row>
    <row r="256" spans="3:23" ht="13.9" customHeight="1">
      <c r="C256" s="69">
        <v>1090447613</v>
      </c>
      <c r="D256" s="70">
        <v>895</v>
      </c>
      <c r="E256" s="70">
        <v>31017</v>
      </c>
      <c r="F256" s="70" t="s">
        <v>205</v>
      </c>
      <c r="G256" s="70" t="s">
        <v>464</v>
      </c>
      <c r="H256" s="70" t="s">
        <v>86</v>
      </c>
      <c r="I256" s="70">
        <v>9008</v>
      </c>
      <c r="J256" s="71">
        <f>VLOOKUP(C256,'Base ejecuciones Oct-17 (2)'!A246:M741,2,0)</f>
        <v>93</v>
      </c>
      <c r="K256" s="71"/>
      <c r="L256" s="71">
        <f>VLOOKUP(C256,'Base ejecuciones Oct-17 (2)'!A247:M741,4,0)</f>
        <v>12</v>
      </c>
      <c r="M256" s="71"/>
      <c r="N256" s="71"/>
      <c r="O256" s="71"/>
      <c r="P256" s="71"/>
      <c r="Q256" s="71"/>
      <c r="R256" s="71"/>
      <c r="S256" s="71"/>
      <c r="T256" s="71"/>
      <c r="U256" s="71"/>
      <c r="W256"/>
    </row>
    <row r="257" spans="3:23" ht="13.9" customHeight="1">
      <c r="C257" s="69">
        <v>37002376</v>
      </c>
      <c r="D257" s="70">
        <v>162</v>
      </c>
      <c r="E257" s="70">
        <v>8256</v>
      </c>
      <c r="F257" s="70" t="s">
        <v>465</v>
      </c>
      <c r="G257" s="70" t="s">
        <v>466</v>
      </c>
      <c r="H257" s="70" t="s">
        <v>86</v>
      </c>
      <c r="I257" s="70">
        <v>9006</v>
      </c>
      <c r="J257" s="71">
        <f>VLOOKUP(C257,'Base ejecuciones Oct-17 (2)'!A247:M742,2,0)</f>
        <v>301</v>
      </c>
      <c r="K257" s="71"/>
      <c r="L257" s="71">
        <f>VLOOKUP(C257,'Base ejecuciones Oct-17 (2)'!A248:M742,4,0)</f>
        <v>5</v>
      </c>
      <c r="M257" s="71"/>
      <c r="N257" s="71"/>
      <c r="O257" s="71"/>
      <c r="P257" s="71"/>
      <c r="Q257" s="71"/>
      <c r="R257" s="71"/>
      <c r="S257" s="71"/>
      <c r="T257" s="71"/>
      <c r="U257" s="71"/>
      <c r="W257"/>
    </row>
    <row r="258" spans="3:23" ht="13.9" customHeight="1">
      <c r="C258" s="69">
        <v>41915400</v>
      </c>
      <c r="D258" s="70">
        <v>341</v>
      </c>
      <c r="E258" s="70">
        <v>9084</v>
      </c>
      <c r="F258" s="70" t="s">
        <v>384</v>
      </c>
      <c r="G258" s="70" t="s">
        <v>467</v>
      </c>
      <c r="H258" s="70" t="s">
        <v>86</v>
      </c>
      <c r="I258" s="70">
        <v>9005</v>
      </c>
      <c r="J258" s="71">
        <f>VLOOKUP(C258,'Base ejecuciones Oct-17 (2)'!A248:M743,2,0)</f>
        <v>81</v>
      </c>
      <c r="K258" s="71"/>
      <c r="L258" s="71">
        <f>VLOOKUP(C258,'Base ejecuciones Oct-17 (2)'!A249:M743,4,0)</f>
        <v>9</v>
      </c>
      <c r="M258" s="71"/>
      <c r="N258" s="71"/>
      <c r="O258" s="71"/>
      <c r="P258" s="71"/>
      <c r="Q258" s="71"/>
      <c r="R258" s="71"/>
      <c r="S258" s="71"/>
      <c r="T258" s="71"/>
      <c r="U258" s="71"/>
      <c r="W258"/>
    </row>
    <row r="259" spans="3:23" ht="13.9" customHeight="1">
      <c r="C259" s="69">
        <v>1017214837</v>
      </c>
      <c r="D259" s="70">
        <v>914</v>
      </c>
      <c r="E259" s="70">
        <v>36757</v>
      </c>
      <c r="F259" s="70" t="s">
        <v>171</v>
      </c>
      <c r="G259" s="70" t="s">
        <v>468</v>
      </c>
      <c r="H259" s="70" t="s">
        <v>86</v>
      </c>
      <c r="I259" s="70">
        <v>9007</v>
      </c>
      <c r="J259" s="71">
        <f>VLOOKUP(C259,'Base ejecuciones Oct-17 (2)'!A249:M744,2,0)</f>
        <v>20</v>
      </c>
      <c r="K259" s="71"/>
      <c r="L259" s="71">
        <f>VLOOKUP(C259,'Base ejecuciones Oct-17 (2)'!A250:M744,4,0)</f>
        <v>5</v>
      </c>
      <c r="M259" s="71"/>
      <c r="N259" s="71"/>
      <c r="O259" s="71"/>
      <c r="P259" s="71"/>
      <c r="Q259" s="71"/>
      <c r="R259" s="71"/>
      <c r="S259" s="71"/>
      <c r="T259" s="71"/>
      <c r="U259" s="71"/>
      <c r="W259"/>
    </row>
    <row r="260" spans="3:23" ht="13.9" customHeight="1">
      <c r="C260" s="69">
        <v>1012392841</v>
      </c>
      <c r="D260" s="70">
        <v>33</v>
      </c>
      <c r="E260" s="70">
        <v>9842</v>
      </c>
      <c r="F260" s="70" t="s">
        <v>135</v>
      </c>
      <c r="G260" s="70" t="s">
        <v>469</v>
      </c>
      <c r="H260" s="70" t="s">
        <v>116</v>
      </c>
      <c r="I260" s="70">
        <v>9001</v>
      </c>
      <c r="J260" s="71">
        <f>VLOOKUP(C260,'Base ejecuciones Oct-17 (2)'!A250:M745,2,0)</f>
        <v>64</v>
      </c>
      <c r="K260" s="71"/>
      <c r="L260" s="71">
        <f>VLOOKUP(C260,'Base ejecuciones Oct-17 (2)'!A251:M745,4,0)</f>
        <v>5</v>
      </c>
      <c r="M260" s="71"/>
      <c r="N260" s="71"/>
      <c r="O260" s="71"/>
      <c r="P260" s="71"/>
      <c r="Q260" s="71"/>
      <c r="R260" s="71"/>
      <c r="S260" s="71"/>
      <c r="T260" s="71"/>
      <c r="U260" s="71"/>
      <c r="W260"/>
    </row>
    <row r="261" spans="3:23" ht="13.9" customHeight="1">
      <c r="C261" s="69">
        <v>8055804</v>
      </c>
      <c r="D261" s="70">
        <v>182</v>
      </c>
      <c r="E261" s="70">
        <v>36512</v>
      </c>
      <c r="F261" s="70" t="s">
        <v>470</v>
      </c>
      <c r="G261" s="70" t="s">
        <v>471</v>
      </c>
      <c r="H261" s="70" t="s">
        <v>86</v>
      </c>
      <c r="I261" s="70">
        <v>9007</v>
      </c>
      <c r="J261" s="71">
        <f>VLOOKUP(C261,'Base ejecuciones Oct-17 (2)'!A251:M746,2,0)</f>
        <v>32</v>
      </c>
      <c r="K261" s="71"/>
      <c r="L261" s="71">
        <f>VLOOKUP(C261,'Base ejecuciones Oct-17 (2)'!A252:M746,4,0)</f>
        <v>9</v>
      </c>
      <c r="M261" s="71"/>
      <c r="N261" s="71"/>
      <c r="O261" s="71"/>
      <c r="P261" s="71"/>
      <c r="Q261" s="71"/>
      <c r="R261" s="71"/>
      <c r="S261" s="71"/>
      <c r="T261" s="71"/>
      <c r="U261" s="71"/>
      <c r="W261"/>
    </row>
    <row r="262" spans="3:23" ht="13.9" customHeight="1">
      <c r="C262" s="69">
        <v>1233890202</v>
      </c>
      <c r="D262" s="70">
        <v>69</v>
      </c>
      <c r="E262" s="70">
        <v>37184</v>
      </c>
      <c r="F262" s="70" t="s">
        <v>95</v>
      </c>
      <c r="G262" s="70" t="s">
        <v>472</v>
      </c>
      <c r="H262" s="70" t="s">
        <v>86</v>
      </c>
      <c r="I262" s="70">
        <v>9004</v>
      </c>
      <c r="J262" s="71">
        <f>VLOOKUP(C262,'Base ejecuciones Oct-17 (2)'!A252:M747,2,0)</f>
        <v>62</v>
      </c>
      <c r="K262" s="71"/>
      <c r="L262" s="71">
        <f>VLOOKUP(C262,'Base ejecuciones Oct-17 (2)'!A253:M747,4,0)</f>
        <v>2</v>
      </c>
      <c r="M262" s="71"/>
      <c r="N262" s="71"/>
      <c r="O262" s="71"/>
      <c r="P262" s="71"/>
      <c r="Q262" s="71"/>
      <c r="R262" s="71"/>
      <c r="S262" s="71"/>
      <c r="T262" s="71"/>
      <c r="U262" s="71"/>
      <c r="W262"/>
    </row>
    <row r="263" spans="3:23" ht="13.9" customHeight="1">
      <c r="C263" s="69">
        <v>51799085</v>
      </c>
      <c r="D263" s="70">
        <v>467</v>
      </c>
      <c r="E263" s="70">
        <v>8191</v>
      </c>
      <c r="F263" s="70" t="s">
        <v>473</v>
      </c>
      <c r="G263" s="70" t="s">
        <v>474</v>
      </c>
      <c r="H263" s="70" t="s">
        <v>86</v>
      </c>
      <c r="I263" s="70">
        <v>9004</v>
      </c>
      <c r="J263" s="71">
        <f>VLOOKUP(C263,'Base ejecuciones Oct-17 (2)'!A253:M748,2,0)</f>
        <v>48</v>
      </c>
      <c r="K263" s="71"/>
      <c r="L263" s="71">
        <f>VLOOKUP(C263,'Base ejecuciones Oct-17 (2)'!A254:M748,4,0)</f>
        <v>6</v>
      </c>
      <c r="M263" s="71"/>
      <c r="N263" s="71"/>
      <c r="O263" s="71"/>
      <c r="P263" s="71"/>
      <c r="Q263" s="71"/>
      <c r="R263" s="71"/>
      <c r="S263" s="71"/>
      <c r="T263" s="71"/>
      <c r="U263" s="71"/>
      <c r="W263"/>
    </row>
    <row r="264" spans="3:23" ht="13.9" customHeight="1">
      <c r="C264" s="69">
        <v>1033784452</v>
      </c>
      <c r="D264" s="70">
        <v>156</v>
      </c>
      <c r="E264" s="70">
        <v>35881</v>
      </c>
      <c r="F264" s="70" t="s">
        <v>203</v>
      </c>
      <c r="G264" s="70" t="s">
        <v>475</v>
      </c>
      <c r="H264" s="70" t="s">
        <v>86</v>
      </c>
      <c r="I264" s="70">
        <v>9004</v>
      </c>
      <c r="J264" s="71">
        <f>VLOOKUP(C264,'Base ejecuciones Oct-17 (2)'!A254:M749,2,0)</f>
        <v>46</v>
      </c>
      <c r="K264" s="71"/>
      <c r="L264" s="71">
        <f>VLOOKUP(C264,'Base ejecuciones Oct-17 (2)'!A255:M749,4,0)</f>
        <v>13</v>
      </c>
      <c r="M264" s="71"/>
      <c r="N264" s="71"/>
      <c r="O264" s="71"/>
      <c r="P264" s="71"/>
      <c r="Q264" s="71"/>
      <c r="R264" s="71"/>
      <c r="S264" s="71"/>
      <c r="T264" s="71"/>
      <c r="U264" s="71"/>
      <c r="W264"/>
    </row>
    <row r="265" spans="3:23" ht="13.9" customHeight="1">
      <c r="C265" s="69">
        <v>1030552786</v>
      </c>
      <c r="D265" s="70">
        <v>53</v>
      </c>
      <c r="E265" s="70">
        <v>9999</v>
      </c>
      <c r="F265" s="70" t="s">
        <v>450</v>
      </c>
      <c r="G265" s="70" t="s">
        <v>476</v>
      </c>
      <c r="H265" s="70" t="s">
        <v>86</v>
      </c>
      <c r="I265" s="70">
        <v>9002</v>
      </c>
      <c r="J265" s="71">
        <f>VLOOKUP(C265,'Base ejecuciones Oct-17 (2)'!A255:M750,2,0)</f>
        <v>37</v>
      </c>
      <c r="K265" s="71"/>
      <c r="L265" s="71">
        <f>VLOOKUP(C265,'Base ejecuciones Oct-17 (2)'!A256:M750,4,0)</f>
        <v>3</v>
      </c>
      <c r="M265" s="71"/>
      <c r="N265" s="71"/>
      <c r="O265" s="71"/>
      <c r="P265" s="71"/>
      <c r="Q265" s="71"/>
      <c r="R265" s="71"/>
      <c r="S265" s="71"/>
      <c r="T265" s="71"/>
      <c r="U265" s="71"/>
      <c r="W265"/>
    </row>
    <row r="266" spans="3:23" ht="13.9" customHeight="1">
      <c r="C266" s="69">
        <v>1140846801</v>
      </c>
      <c r="D266" s="70">
        <v>101</v>
      </c>
      <c r="E266" s="70">
        <v>36124</v>
      </c>
      <c r="F266" s="70" t="s">
        <v>180</v>
      </c>
      <c r="G266" s="70" t="s">
        <v>477</v>
      </c>
      <c r="H266" s="70" t="s">
        <v>86</v>
      </c>
      <c r="I266" s="70">
        <v>9009</v>
      </c>
      <c r="J266" s="71">
        <f>VLOOKUP(C266,'Base ejecuciones Oct-17 (2)'!A256:M751,2,0)</f>
        <v>25</v>
      </c>
      <c r="K266" s="71"/>
      <c r="L266" s="71">
        <f>VLOOKUP(C266,'Base ejecuciones Oct-17 (2)'!A257:M751,4,0)</f>
        <v>2</v>
      </c>
      <c r="M266" s="71"/>
      <c r="N266" s="71"/>
      <c r="O266" s="71"/>
      <c r="P266" s="71"/>
      <c r="Q266" s="71"/>
      <c r="R266" s="71"/>
      <c r="S266" s="71"/>
      <c r="T266" s="71"/>
      <c r="U266" s="71"/>
      <c r="W266"/>
    </row>
    <row r="267" spans="3:23" ht="13.9" customHeight="1">
      <c r="C267" s="69">
        <v>1032404165</v>
      </c>
      <c r="D267" s="70">
        <v>75</v>
      </c>
      <c r="E267" s="70">
        <v>9626</v>
      </c>
      <c r="F267" s="70" t="s">
        <v>271</v>
      </c>
      <c r="G267" s="70" t="s">
        <v>478</v>
      </c>
      <c r="H267" s="70" t="s">
        <v>86</v>
      </c>
      <c r="I267" s="70">
        <v>9004</v>
      </c>
      <c r="J267" s="71">
        <f>VLOOKUP(C267,'Base ejecuciones Oct-17 (2)'!A257:M752,2,0)</f>
        <v>46</v>
      </c>
      <c r="K267" s="71"/>
      <c r="L267" s="71">
        <f>VLOOKUP(C267,'Base ejecuciones Oct-17 (2)'!A258:M752,4,0)</f>
        <v>14</v>
      </c>
      <c r="M267" s="71"/>
      <c r="N267" s="71"/>
      <c r="O267" s="71"/>
      <c r="P267" s="71"/>
      <c r="Q267" s="71"/>
      <c r="R267" s="71"/>
      <c r="S267" s="71"/>
      <c r="T267" s="71"/>
      <c r="U267" s="71"/>
      <c r="W267"/>
    </row>
    <row r="268" spans="3:23" ht="13.9" customHeight="1">
      <c r="C268" s="69">
        <v>1214715191</v>
      </c>
      <c r="D268" s="70">
        <v>690</v>
      </c>
      <c r="E268" s="70">
        <v>37785</v>
      </c>
      <c r="F268" s="70" t="s">
        <v>479</v>
      </c>
      <c r="G268" s="70" t="s">
        <v>480</v>
      </c>
      <c r="H268" s="70" t="s">
        <v>86</v>
      </c>
      <c r="I268" s="70">
        <v>9007</v>
      </c>
      <c r="J268" s="71">
        <f>VLOOKUP(C268,'Base ejecuciones Oct-17 (2)'!A258:M753,2,0)</f>
        <v>47</v>
      </c>
      <c r="K268" s="71"/>
      <c r="L268" s="71">
        <f>VLOOKUP(C268,'Base ejecuciones Oct-17 (2)'!A259:M753,4,0)</f>
        <v>12</v>
      </c>
      <c r="M268" s="71"/>
      <c r="N268" s="71"/>
      <c r="O268" s="71"/>
      <c r="P268" s="71"/>
      <c r="Q268" s="71"/>
      <c r="R268" s="71"/>
      <c r="S268" s="71"/>
      <c r="T268" s="71"/>
      <c r="U268" s="71"/>
      <c r="W268"/>
    </row>
    <row r="269" spans="3:23" ht="13.9" customHeight="1">
      <c r="C269" s="69">
        <v>1016032693</v>
      </c>
      <c r="D269" s="70">
        <v>171</v>
      </c>
      <c r="E269" s="70">
        <v>9981</v>
      </c>
      <c r="F269" s="70" t="s">
        <v>123</v>
      </c>
      <c r="G269" s="70" t="s">
        <v>481</v>
      </c>
      <c r="H269" s="70" t="s">
        <v>116</v>
      </c>
      <c r="I269" s="70">
        <v>9007</v>
      </c>
      <c r="J269" s="71">
        <f>VLOOKUP(C269,'Base ejecuciones Oct-17 (2)'!A259:M754,2,0)</f>
        <v>21</v>
      </c>
      <c r="K269" s="71"/>
      <c r="L269" s="71">
        <f>VLOOKUP(C269,'Base ejecuciones Oct-17 (2)'!A260:M754,4,0)</f>
        <v>2</v>
      </c>
      <c r="M269" s="71"/>
      <c r="N269" s="71"/>
      <c r="O269" s="71"/>
      <c r="P269" s="71"/>
      <c r="Q269" s="71"/>
      <c r="R269" s="71"/>
      <c r="S269" s="71"/>
      <c r="T269" s="71"/>
      <c r="U269" s="71"/>
      <c r="W269"/>
    </row>
    <row r="270" spans="3:23" ht="13.9" customHeight="1">
      <c r="C270" s="69">
        <v>1022421705</v>
      </c>
      <c r="D270" s="70">
        <v>16</v>
      </c>
      <c r="E270" s="70">
        <v>38410</v>
      </c>
      <c r="F270" s="70" t="s">
        <v>105</v>
      </c>
      <c r="G270" s="70" t="s">
        <v>482</v>
      </c>
      <c r="H270" s="70" t="s">
        <v>86</v>
      </c>
      <c r="I270" s="70">
        <v>9003</v>
      </c>
      <c r="J270" s="71">
        <f>VLOOKUP(C270,'Base ejecuciones Oct-17 (2)'!A260:M755,2,0)</f>
        <v>41</v>
      </c>
      <c r="K270" s="71"/>
      <c r="L270" s="71">
        <f>VLOOKUP(C270,'Base ejecuciones Oct-17 (2)'!A261:M755,4,0)</f>
        <v>9</v>
      </c>
      <c r="M270" s="71"/>
      <c r="N270" s="71"/>
      <c r="O270" s="71"/>
      <c r="P270" s="71"/>
      <c r="Q270" s="71"/>
      <c r="R270" s="71"/>
      <c r="S270" s="71"/>
      <c r="T270" s="71"/>
      <c r="U270" s="71"/>
      <c r="W270"/>
    </row>
    <row r="271" spans="3:23" ht="13.9" customHeight="1">
      <c r="C271" s="69">
        <v>1140856648</v>
      </c>
      <c r="D271" s="70">
        <v>913</v>
      </c>
      <c r="E271" s="70">
        <v>36906</v>
      </c>
      <c r="F271" s="70" t="s">
        <v>194</v>
      </c>
      <c r="G271" s="70" t="s">
        <v>483</v>
      </c>
      <c r="H271" s="70" t="s">
        <v>86</v>
      </c>
      <c r="I271" s="70">
        <v>9009</v>
      </c>
      <c r="J271" s="71">
        <f>VLOOKUP(C271,'Base ejecuciones Oct-17 (2)'!A261:M756,2,0)</f>
        <v>39</v>
      </c>
      <c r="K271" s="71"/>
      <c r="L271" s="71">
        <f>VLOOKUP(C271,'Base ejecuciones Oct-17 (2)'!A262:M756,4,0)</f>
        <v>3</v>
      </c>
      <c r="M271" s="71"/>
      <c r="N271" s="71"/>
      <c r="O271" s="71"/>
      <c r="P271" s="71"/>
      <c r="Q271" s="71"/>
      <c r="R271" s="71"/>
      <c r="S271" s="71"/>
      <c r="T271" s="71"/>
      <c r="U271" s="71"/>
      <c r="W271"/>
    </row>
    <row r="272" spans="3:23" ht="13.9" customHeight="1">
      <c r="C272" s="69">
        <v>52518082</v>
      </c>
      <c r="D272" s="70">
        <v>79</v>
      </c>
      <c r="E272" s="70">
        <v>9406</v>
      </c>
      <c r="F272" s="70" t="s">
        <v>222</v>
      </c>
      <c r="G272" s="70" t="s">
        <v>484</v>
      </c>
      <c r="H272" s="70" t="s">
        <v>86</v>
      </c>
      <c r="I272" s="70">
        <v>9003</v>
      </c>
      <c r="J272" s="71">
        <f>VLOOKUP(C272,'Base ejecuciones Oct-17 (2)'!A262:M757,2,0)</f>
        <v>49</v>
      </c>
      <c r="K272" s="71"/>
      <c r="L272" s="71">
        <f>VLOOKUP(C272,'Base ejecuciones Oct-17 (2)'!A263:M757,4,0)</f>
        <v>12</v>
      </c>
      <c r="M272" s="71"/>
      <c r="N272" s="71"/>
      <c r="O272" s="71"/>
      <c r="P272" s="71"/>
      <c r="Q272" s="71"/>
      <c r="R272" s="71"/>
      <c r="S272" s="71"/>
      <c r="T272" s="71"/>
      <c r="U272" s="71"/>
      <c r="W272"/>
    </row>
    <row r="273" spans="3:23" ht="13.9" customHeight="1">
      <c r="C273" s="69">
        <v>1015401018</v>
      </c>
      <c r="D273" s="70">
        <v>42</v>
      </c>
      <c r="E273" s="70">
        <v>9506</v>
      </c>
      <c r="F273" s="70" t="s">
        <v>485</v>
      </c>
      <c r="G273" s="70" t="s">
        <v>486</v>
      </c>
      <c r="H273" s="70" t="s">
        <v>86</v>
      </c>
      <c r="I273" s="70">
        <v>9002</v>
      </c>
      <c r="J273" s="71">
        <f>VLOOKUP(C273,'Base ejecuciones Oct-17 (2)'!A263:M758,2,0)</f>
        <v>56</v>
      </c>
      <c r="K273" s="71"/>
      <c r="L273" s="71">
        <f>VLOOKUP(C273,'Base ejecuciones Oct-17 (2)'!A264:M758,4,0)</f>
        <v>8</v>
      </c>
      <c r="M273" s="71"/>
      <c r="N273" s="71"/>
      <c r="O273" s="71"/>
      <c r="P273" s="71"/>
      <c r="Q273" s="71"/>
      <c r="R273" s="71"/>
      <c r="S273" s="71"/>
      <c r="T273" s="71"/>
      <c r="U273" s="71"/>
      <c r="W273"/>
    </row>
    <row r="274" spans="3:23" ht="13.9" customHeight="1">
      <c r="C274" s="69">
        <v>1026134714</v>
      </c>
      <c r="D274" s="70">
        <v>692</v>
      </c>
      <c r="E274" s="70">
        <v>31857</v>
      </c>
      <c r="F274" s="70" t="s">
        <v>173</v>
      </c>
      <c r="G274" s="70" t="s">
        <v>487</v>
      </c>
      <c r="H274" s="70" t="s">
        <v>86</v>
      </c>
      <c r="I274" s="70">
        <v>9007</v>
      </c>
      <c r="J274" s="71">
        <f>VLOOKUP(C274,'Base ejecuciones Oct-17 (2)'!A264:M759,2,0)</f>
        <v>20</v>
      </c>
      <c r="K274" s="71"/>
      <c r="L274" s="71">
        <f>VLOOKUP(C274,'Base ejecuciones Oct-17 (2)'!A265:M759,4,0)</f>
        <v>12</v>
      </c>
      <c r="M274" s="71"/>
      <c r="N274" s="71"/>
      <c r="O274" s="71"/>
      <c r="P274" s="71"/>
      <c r="Q274" s="71"/>
      <c r="R274" s="71"/>
      <c r="S274" s="71"/>
      <c r="T274" s="71"/>
      <c r="U274" s="71"/>
      <c r="W274"/>
    </row>
    <row r="275" spans="3:23" ht="13.9" customHeight="1">
      <c r="C275" s="69">
        <v>1026285669</v>
      </c>
      <c r="D275" s="70">
        <v>634</v>
      </c>
      <c r="E275" s="70">
        <v>38871</v>
      </c>
      <c r="F275" s="70" t="s">
        <v>224</v>
      </c>
      <c r="G275" s="70" t="s">
        <v>488</v>
      </c>
      <c r="H275" s="70" t="s">
        <v>116</v>
      </c>
      <c r="I275" s="70">
        <v>9001</v>
      </c>
      <c r="J275" s="71">
        <f>VLOOKUP(C275,'Base ejecuciones Oct-17 (2)'!A265:M760,2,0)</f>
        <v>46</v>
      </c>
      <c r="K275" s="71"/>
      <c r="L275" s="71">
        <f>VLOOKUP(C275,'Base ejecuciones Oct-17 (2)'!A266:M760,4,0)</f>
        <v>1</v>
      </c>
      <c r="M275" s="71"/>
      <c r="N275" s="71"/>
      <c r="O275" s="71"/>
      <c r="P275" s="71"/>
      <c r="Q275" s="71"/>
      <c r="R275" s="71"/>
      <c r="S275" s="71"/>
      <c r="T275" s="71"/>
      <c r="U275" s="71"/>
      <c r="W275"/>
    </row>
    <row r="276" spans="3:23" ht="13.9" customHeight="1">
      <c r="C276" s="69">
        <v>1098760868</v>
      </c>
      <c r="D276" s="70">
        <v>131</v>
      </c>
      <c r="E276" s="70">
        <v>37546</v>
      </c>
      <c r="F276" s="70" t="s">
        <v>121</v>
      </c>
      <c r="G276" s="70" t="s">
        <v>489</v>
      </c>
      <c r="H276" s="70" t="s">
        <v>86</v>
      </c>
      <c r="I276" s="70">
        <v>9008</v>
      </c>
      <c r="J276" s="71">
        <f>VLOOKUP(C276,'Base ejecuciones Oct-17 (2)'!A266:M761,2,0)</f>
        <v>52</v>
      </c>
      <c r="K276" s="71"/>
      <c r="L276" s="71">
        <f>VLOOKUP(C276,'Base ejecuciones Oct-17 (2)'!A267:M761,4,0)</f>
        <v>1</v>
      </c>
      <c r="M276" s="71"/>
      <c r="N276" s="71"/>
      <c r="O276" s="71"/>
      <c r="P276" s="71"/>
      <c r="Q276" s="71"/>
      <c r="R276" s="71"/>
      <c r="S276" s="71"/>
      <c r="T276" s="71"/>
      <c r="U276" s="71"/>
      <c r="W276"/>
    </row>
    <row r="277" spans="3:23" ht="13.9" customHeight="1">
      <c r="C277" s="69">
        <v>1022381175</v>
      </c>
      <c r="D277" s="70">
        <v>37</v>
      </c>
      <c r="E277" s="70">
        <v>9843</v>
      </c>
      <c r="F277" s="70" t="s">
        <v>490</v>
      </c>
      <c r="G277" s="70" t="s">
        <v>491</v>
      </c>
      <c r="H277" s="70" t="s">
        <v>116</v>
      </c>
      <c r="I277" s="70">
        <v>9001</v>
      </c>
      <c r="J277" s="71">
        <f>VLOOKUP(C277,'Base ejecuciones Oct-17 (2)'!A267:M762,2,0)</f>
        <v>29</v>
      </c>
      <c r="K277" s="71"/>
      <c r="L277" s="71">
        <f>VLOOKUP(C277,'Base ejecuciones Oct-17 (2)'!A268:M762,4,0)</f>
        <v>6</v>
      </c>
      <c r="M277" s="71"/>
      <c r="N277" s="71"/>
      <c r="O277" s="71"/>
      <c r="P277" s="71"/>
      <c r="Q277" s="71"/>
      <c r="R277" s="71"/>
      <c r="S277" s="71"/>
      <c r="T277" s="71"/>
      <c r="U277" s="71"/>
      <c r="W277"/>
    </row>
    <row r="278" spans="3:23" ht="13.9" customHeight="1">
      <c r="C278" s="69">
        <v>20932597</v>
      </c>
      <c r="D278" s="70">
        <v>46</v>
      </c>
      <c r="E278" s="70">
        <v>8112</v>
      </c>
      <c r="F278" s="70" t="s">
        <v>492</v>
      </c>
      <c r="G278" s="70" t="s">
        <v>493</v>
      </c>
      <c r="H278" s="70" t="s">
        <v>86</v>
      </c>
      <c r="I278" s="70">
        <v>9003</v>
      </c>
      <c r="J278" s="71">
        <f>VLOOKUP(C278,'Base ejecuciones Oct-17 (2)'!A268:M763,2,0)</f>
        <v>39</v>
      </c>
      <c r="K278" s="71"/>
      <c r="L278" s="71">
        <f>VLOOKUP(C278,'Base ejecuciones Oct-17 (2)'!A269:M763,4,0)</f>
        <v>11</v>
      </c>
      <c r="M278" s="71"/>
      <c r="N278" s="71"/>
      <c r="O278" s="71"/>
      <c r="P278" s="71"/>
      <c r="Q278" s="71"/>
      <c r="R278" s="71"/>
      <c r="S278" s="71"/>
      <c r="T278" s="71"/>
      <c r="U278" s="71"/>
      <c r="W278"/>
    </row>
    <row r="279" spans="3:23" ht="13.9" customHeight="1">
      <c r="C279" s="69">
        <v>1015415335</v>
      </c>
      <c r="D279" s="70">
        <v>156</v>
      </c>
      <c r="E279" s="70">
        <v>38818</v>
      </c>
      <c r="F279" s="70" t="s">
        <v>203</v>
      </c>
      <c r="G279" s="70" t="s">
        <v>494</v>
      </c>
      <c r="H279" s="70" t="s">
        <v>86</v>
      </c>
      <c r="I279" s="70">
        <v>9004</v>
      </c>
      <c r="J279" s="71">
        <f>VLOOKUP(C279,'Base ejecuciones Oct-17 (2)'!A269:M764,2,0)</f>
        <v>71</v>
      </c>
      <c r="K279" s="71"/>
      <c r="L279" s="71">
        <f>VLOOKUP(C279,'Base ejecuciones Oct-17 (2)'!A270:M764,4,0)</f>
        <v>12</v>
      </c>
      <c r="M279" s="71"/>
      <c r="N279" s="71"/>
      <c r="O279" s="71"/>
      <c r="P279" s="71"/>
      <c r="Q279" s="71"/>
      <c r="R279" s="71"/>
      <c r="S279" s="71"/>
      <c r="T279" s="71"/>
      <c r="U279" s="71"/>
      <c r="W279"/>
    </row>
    <row r="280" spans="3:23" ht="13.9" customHeight="1">
      <c r="C280" s="69">
        <v>45489129</v>
      </c>
      <c r="D280" s="70">
        <v>115</v>
      </c>
      <c r="E280" s="70">
        <v>8316</v>
      </c>
      <c r="F280" s="70" t="s">
        <v>146</v>
      </c>
      <c r="G280" s="70" t="s">
        <v>495</v>
      </c>
      <c r="H280" s="70" t="s">
        <v>86</v>
      </c>
      <c r="I280" s="70">
        <v>9009</v>
      </c>
      <c r="J280" s="71">
        <f>VLOOKUP(C280,'Base ejecuciones Oct-17 (2)'!A270:M765,2,0)</f>
        <v>66</v>
      </c>
      <c r="K280" s="71"/>
      <c r="L280" s="71">
        <f>VLOOKUP(C280,'Base ejecuciones Oct-17 (2)'!A271:M765,4,0)</f>
        <v>6</v>
      </c>
      <c r="M280" s="71"/>
      <c r="N280" s="71"/>
      <c r="O280" s="71"/>
      <c r="P280" s="71"/>
      <c r="Q280" s="71"/>
      <c r="R280" s="71"/>
      <c r="S280" s="71"/>
      <c r="T280" s="71"/>
      <c r="U280" s="71"/>
      <c r="W280"/>
    </row>
    <row r="281" spans="3:23" ht="13.9" customHeight="1">
      <c r="C281" s="69">
        <v>1061727834</v>
      </c>
      <c r="D281" s="70">
        <v>949</v>
      </c>
      <c r="E281" s="70">
        <v>9527</v>
      </c>
      <c r="F281" s="70" t="s">
        <v>496</v>
      </c>
      <c r="G281" s="70" t="s">
        <v>497</v>
      </c>
      <c r="H281" s="70" t="s">
        <v>86</v>
      </c>
      <c r="I281" s="70">
        <v>9006</v>
      </c>
      <c r="J281" s="71">
        <f>VLOOKUP(C281,'Base ejecuciones Oct-17 (2)'!A271:M766,2,0)</f>
        <v>298</v>
      </c>
      <c r="K281" s="71"/>
      <c r="L281" s="71">
        <f>VLOOKUP(C281,'Base ejecuciones Oct-17 (2)'!A272:M766,4,0)</f>
        <v>5</v>
      </c>
      <c r="M281" s="71"/>
      <c r="N281" s="71"/>
      <c r="O281" s="71"/>
      <c r="P281" s="71"/>
      <c r="Q281" s="71"/>
      <c r="R281" s="71"/>
      <c r="S281" s="71"/>
      <c r="T281" s="71"/>
      <c r="U281" s="71"/>
      <c r="W281"/>
    </row>
    <row r="282" spans="3:23" ht="13.9" customHeight="1">
      <c r="C282" s="69">
        <v>98771814</v>
      </c>
      <c r="D282" s="70">
        <v>171</v>
      </c>
      <c r="E282" s="70">
        <v>9739</v>
      </c>
      <c r="F282" s="70" t="s">
        <v>123</v>
      </c>
      <c r="G282" s="70" t="s">
        <v>498</v>
      </c>
      <c r="H282" s="70" t="s">
        <v>86</v>
      </c>
      <c r="I282" s="70">
        <v>9007</v>
      </c>
      <c r="J282" s="71">
        <f>VLOOKUP(C282,'Base ejecuciones Oct-17 (2)'!A272:M767,2,0)</f>
        <v>58</v>
      </c>
      <c r="K282" s="71"/>
      <c r="L282" s="71">
        <f>VLOOKUP(C282,'Base ejecuciones Oct-17 (2)'!A273:M767,4,0)</f>
        <v>4</v>
      </c>
      <c r="M282" s="71"/>
      <c r="N282" s="71"/>
      <c r="O282" s="71"/>
      <c r="P282" s="71"/>
      <c r="Q282" s="71"/>
      <c r="R282" s="71"/>
      <c r="S282" s="71"/>
      <c r="T282" s="71"/>
      <c r="U282" s="71"/>
      <c r="W282"/>
    </row>
    <row r="283" spans="3:23" ht="13.9" customHeight="1">
      <c r="C283" s="69">
        <v>1022350929</v>
      </c>
      <c r="D283" s="70">
        <v>897</v>
      </c>
      <c r="E283" s="70">
        <v>37544</v>
      </c>
      <c r="F283" s="70" t="s">
        <v>499</v>
      </c>
      <c r="G283" s="70" t="s">
        <v>500</v>
      </c>
      <c r="H283" s="70" t="s">
        <v>86</v>
      </c>
      <c r="I283" s="70">
        <v>9004</v>
      </c>
      <c r="J283" s="71">
        <f>VLOOKUP(C283,'Base ejecuciones Oct-17 (2)'!A273:M768,2,0)</f>
        <v>50</v>
      </c>
      <c r="K283" s="71"/>
      <c r="L283" s="71">
        <f>VLOOKUP(C283,'Base ejecuciones Oct-17 (2)'!A274:M768,4,0)</f>
        <v>8</v>
      </c>
      <c r="M283" s="71"/>
      <c r="N283" s="71"/>
      <c r="O283" s="71"/>
      <c r="P283" s="71"/>
      <c r="Q283" s="71"/>
      <c r="R283" s="71"/>
      <c r="S283" s="71"/>
      <c r="T283" s="71"/>
      <c r="U283" s="71"/>
      <c r="W283"/>
    </row>
    <row r="284" spans="3:23" ht="13.9" customHeight="1">
      <c r="C284" s="69">
        <v>1024552869</v>
      </c>
      <c r="D284" s="70">
        <v>429</v>
      </c>
      <c r="E284" s="70">
        <v>9918</v>
      </c>
      <c r="F284" s="70" t="s">
        <v>212</v>
      </c>
      <c r="G284" s="70" t="s">
        <v>501</v>
      </c>
      <c r="H284" s="70" t="s">
        <v>86</v>
      </c>
      <c r="I284" s="70">
        <v>9001</v>
      </c>
      <c r="J284" s="71">
        <f>VLOOKUP(C284,'Base ejecuciones Oct-17 (2)'!A274:M769,2,0)</f>
        <v>46</v>
      </c>
      <c r="K284" s="71"/>
      <c r="L284" s="71">
        <f>VLOOKUP(C284,'Base ejecuciones Oct-17 (2)'!A275:M769,4,0)</f>
        <v>12</v>
      </c>
      <c r="M284" s="71"/>
      <c r="N284" s="71"/>
      <c r="O284" s="71"/>
      <c r="P284" s="71"/>
      <c r="Q284" s="71"/>
      <c r="R284" s="71"/>
      <c r="S284" s="71"/>
      <c r="T284" s="71"/>
      <c r="U284" s="71"/>
      <c r="W284"/>
    </row>
    <row r="285" spans="3:23" ht="13.9" customHeight="1">
      <c r="C285" s="69">
        <v>1214714414</v>
      </c>
      <c r="D285" s="70">
        <v>190</v>
      </c>
      <c r="E285" s="70">
        <v>37524</v>
      </c>
      <c r="F285" s="70" t="s">
        <v>502</v>
      </c>
      <c r="G285" s="70" t="s">
        <v>503</v>
      </c>
      <c r="H285" s="70" t="s">
        <v>86</v>
      </c>
      <c r="I285" s="70">
        <v>9007</v>
      </c>
      <c r="J285" s="71">
        <f>VLOOKUP(C285,'Base ejecuciones Oct-17 (2)'!A275:M770,2,0)</f>
        <v>33</v>
      </c>
      <c r="K285" s="71"/>
      <c r="L285" s="71">
        <f>VLOOKUP(C285,'Base ejecuciones Oct-17 (2)'!A276:M770,4,0)</f>
        <v>20</v>
      </c>
      <c r="M285" s="71"/>
      <c r="N285" s="71"/>
      <c r="O285" s="71"/>
      <c r="P285" s="71"/>
      <c r="Q285" s="71"/>
      <c r="R285" s="71"/>
      <c r="S285" s="71"/>
      <c r="T285" s="71"/>
      <c r="U285" s="71"/>
      <c r="W285"/>
    </row>
    <row r="286" spans="3:23" ht="13.9" customHeight="1">
      <c r="C286" s="69">
        <v>1030565519</v>
      </c>
      <c r="D286" s="70">
        <v>47</v>
      </c>
      <c r="E286" s="70">
        <v>9757</v>
      </c>
      <c r="F286" s="70" t="s">
        <v>266</v>
      </c>
      <c r="G286" s="70" t="s">
        <v>504</v>
      </c>
      <c r="H286" s="70" t="s">
        <v>86</v>
      </c>
      <c r="I286" s="70">
        <v>9003</v>
      </c>
      <c r="J286" s="71">
        <f>VLOOKUP(C286,'Base ejecuciones Oct-17 (2)'!A276:M771,2,0)</f>
        <v>31</v>
      </c>
      <c r="K286" s="71"/>
      <c r="L286" s="71">
        <f>VLOOKUP(C286,'Base ejecuciones Oct-17 (2)'!A277:M771,4,0)</f>
        <v>11</v>
      </c>
      <c r="M286" s="71"/>
      <c r="N286" s="71"/>
      <c r="O286" s="71"/>
      <c r="P286" s="71"/>
      <c r="Q286" s="71"/>
      <c r="R286" s="71"/>
      <c r="S286" s="71"/>
      <c r="T286" s="71"/>
      <c r="U286" s="71"/>
      <c r="W286"/>
    </row>
    <row r="287" spans="3:23" ht="13.9" customHeight="1">
      <c r="C287" s="69">
        <v>29126952</v>
      </c>
      <c r="D287" s="70">
        <v>38</v>
      </c>
      <c r="E287" s="70">
        <v>8550</v>
      </c>
      <c r="F287" s="70" t="s">
        <v>505</v>
      </c>
      <c r="G287" s="70" t="s">
        <v>506</v>
      </c>
      <c r="H287" s="70" t="s">
        <v>86</v>
      </c>
      <c r="I287" s="70">
        <v>9008</v>
      </c>
      <c r="J287" s="71">
        <f>VLOOKUP(C287,'Base ejecuciones Oct-17 (2)'!A277:M772,2,0)</f>
        <v>47</v>
      </c>
      <c r="K287" s="71"/>
      <c r="L287" s="71">
        <f>VLOOKUP(C287,'Base ejecuciones Oct-17 (2)'!A278:M772,4,0)</f>
        <v>16</v>
      </c>
      <c r="M287" s="71"/>
      <c r="N287" s="71"/>
      <c r="O287" s="71"/>
      <c r="P287" s="71"/>
      <c r="Q287" s="71"/>
      <c r="R287" s="71"/>
      <c r="S287" s="71"/>
      <c r="T287" s="71"/>
      <c r="U287" s="71"/>
      <c r="W287"/>
    </row>
    <row r="288" spans="3:23" ht="13.9" customHeight="1">
      <c r="C288" s="69">
        <v>45766371</v>
      </c>
      <c r="D288" s="70">
        <v>116</v>
      </c>
      <c r="E288" s="70">
        <v>8744</v>
      </c>
      <c r="F288" s="70" t="s">
        <v>278</v>
      </c>
      <c r="G288" s="70" t="s">
        <v>507</v>
      </c>
      <c r="H288" s="70" t="s">
        <v>86</v>
      </c>
      <c r="I288" s="70">
        <v>9009</v>
      </c>
      <c r="J288" s="71">
        <f>VLOOKUP(C288,'Base ejecuciones Oct-17 (2)'!A278:M773,2,0)</f>
        <v>23</v>
      </c>
      <c r="K288" s="71"/>
      <c r="L288" s="71">
        <f>VLOOKUP(C288,'Base ejecuciones Oct-17 (2)'!A279:M773,4,0)</f>
        <v>3</v>
      </c>
      <c r="M288" s="71"/>
      <c r="N288" s="71"/>
      <c r="O288" s="71"/>
      <c r="P288" s="71"/>
      <c r="Q288" s="71"/>
      <c r="R288" s="71"/>
      <c r="S288" s="71"/>
      <c r="T288" s="71"/>
      <c r="U288" s="71"/>
      <c r="W288"/>
    </row>
    <row r="289" spans="3:23" ht="13.9" customHeight="1">
      <c r="C289" s="69">
        <v>1018468257</v>
      </c>
      <c r="D289" s="70">
        <v>443</v>
      </c>
      <c r="E289" s="70">
        <v>38530</v>
      </c>
      <c r="F289" s="70" t="s">
        <v>455</v>
      </c>
      <c r="G289" s="70" t="s">
        <v>508</v>
      </c>
      <c r="H289" s="70" t="s">
        <v>86</v>
      </c>
      <c r="I289" s="70">
        <v>9001</v>
      </c>
      <c r="J289" s="71">
        <f>VLOOKUP(C289,'Base ejecuciones Oct-17 (2)'!A279:M774,2,0)</f>
        <v>43</v>
      </c>
      <c r="K289" s="71"/>
      <c r="L289" s="71">
        <f>VLOOKUP(C289,'Base ejecuciones Oct-17 (2)'!A280:M774,4,0)</f>
        <v>7</v>
      </c>
      <c r="M289" s="71"/>
      <c r="N289" s="71"/>
      <c r="O289" s="71"/>
      <c r="P289" s="71"/>
      <c r="Q289" s="71"/>
      <c r="R289" s="71"/>
      <c r="S289" s="71"/>
      <c r="T289" s="71"/>
      <c r="U289" s="71"/>
      <c r="W289"/>
    </row>
    <row r="290" spans="3:23" ht="13.9" customHeight="1">
      <c r="C290" s="69">
        <v>57464859</v>
      </c>
      <c r="D290" s="70">
        <v>121</v>
      </c>
      <c r="E290" s="70">
        <v>9673</v>
      </c>
      <c r="F290" s="70" t="s">
        <v>406</v>
      </c>
      <c r="G290" s="70" t="s">
        <v>509</v>
      </c>
      <c r="H290" s="70" t="s">
        <v>86</v>
      </c>
      <c r="I290" s="70">
        <v>9009</v>
      </c>
      <c r="J290" s="71">
        <f>VLOOKUP(C290,'Base ejecuciones Oct-17 (2)'!A280:M775,2,0)</f>
        <v>71</v>
      </c>
      <c r="K290" s="71"/>
      <c r="L290" s="71">
        <f>VLOOKUP(C290,'Base ejecuciones Oct-17 (2)'!A281:M775,4,0)</f>
        <v>13</v>
      </c>
      <c r="M290" s="71"/>
      <c r="N290" s="71"/>
      <c r="O290" s="71"/>
      <c r="P290" s="71"/>
      <c r="Q290" s="71"/>
      <c r="R290" s="71"/>
      <c r="S290" s="71"/>
      <c r="T290" s="71"/>
      <c r="U290" s="71"/>
      <c r="W290"/>
    </row>
    <row r="291" spans="3:23" ht="13.9" customHeight="1">
      <c r="C291" s="69">
        <v>38213008</v>
      </c>
      <c r="D291" s="70">
        <v>211</v>
      </c>
      <c r="E291" s="70">
        <v>32141</v>
      </c>
      <c r="F291" s="70" t="s">
        <v>241</v>
      </c>
      <c r="G291" s="70" t="s">
        <v>510</v>
      </c>
      <c r="H291" s="70" t="s">
        <v>86</v>
      </c>
      <c r="I291" s="70">
        <v>9005</v>
      </c>
      <c r="J291" s="71">
        <f>VLOOKUP(C291,'Base ejecuciones Oct-17 (2)'!A281:M776,2,0)</f>
        <v>104</v>
      </c>
      <c r="K291" s="71"/>
      <c r="L291" s="71">
        <f>VLOOKUP(C291,'Base ejecuciones Oct-17 (2)'!A282:M776,4,0)</f>
        <v>9</v>
      </c>
      <c r="M291" s="71"/>
      <c r="N291" s="71"/>
      <c r="O291" s="71"/>
      <c r="P291" s="71"/>
      <c r="Q291" s="71"/>
      <c r="R291" s="71"/>
      <c r="S291" s="71"/>
      <c r="T291" s="71"/>
      <c r="U291" s="71"/>
      <c r="W291"/>
    </row>
    <row r="292" spans="3:23" ht="13.9" customHeight="1">
      <c r="C292" s="69">
        <v>32298599</v>
      </c>
      <c r="D292" s="70">
        <v>190</v>
      </c>
      <c r="E292" s="70">
        <v>37395</v>
      </c>
      <c r="F292" s="70" t="s">
        <v>502</v>
      </c>
      <c r="G292" s="70" t="s">
        <v>511</v>
      </c>
      <c r="H292" s="70" t="s">
        <v>86</v>
      </c>
      <c r="I292" s="70">
        <v>9007</v>
      </c>
      <c r="J292" s="71">
        <f>VLOOKUP(C292,'Base ejecuciones Oct-17 (2)'!A282:M777,2,0)</f>
        <v>45</v>
      </c>
      <c r="K292" s="71"/>
      <c r="L292" s="71">
        <f>VLOOKUP(C292,'Base ejecuciones Oct-17 (2)'!A283:M777,4,0)</f>
        <v>3</v>
      </c>
      <c r="M292" s="71"/>
      <c r="N292" s="71"/>
      <c r="O292" s="71"/>
      <c r="P292" s="71"/>
      <c r="Q292" s="71"/>
      <c r="R292" s="71"/>
      <c r="S292" s="71"/>
      <c r="T292" s="71"/>
      <c r="U292" s="71"/>
      <c r="W292"/>
    </row>
    <row r="293" spans="3:23" ht="13.9" customHeight="1">
      <c r="C293" s="69">
        <v>98696279</v>
      </c>
      <c r="D293" s="70">
        <v>983</v>
      </c>
      <c r="E293" s="70">
        <v>37787</v>
      </c>
      <c r="F293" s="70" t="s">
        <v>512</v>
      </c>
      <c r="G293" s="70" t="s">
        <v>513</v>
      </c>
      <c r="H293" s="70" t="s">
        <v>86</v>
      </c>
      <c r="I293" s="70">
        <v>9007</v>
      </c>
      <c r="J293" s="71">
        <f>VLOOKUP(C293,'Base ejecuciones Oct-17 (2)'!A283:M778,2,0)</f>
        <v>43</v>
      </c>
      <c r="K293" s="71"/>
      <c r="L293" s="71">
        <f>VLOOKUP(C293,'Base ejecuciones Oct-17 (2)'!A284:M778,4,0)</f>
        <v>12</v>
      </c>
      <c r="M293" s="71"/>
      <c r="N293" s="71"/>
      <c r="O293" s="71"/>
      <c r="P293" s="71"/>
      <c r="Q293" s="71"/>
      <c r="R293" s="71"/>
      <c r="S293" s="71"/>
      <c r="T293" s="71"/>
      <c r="U293" s="71"/>
      <c r="W293"/>
    </row>
    <row r="294" spans="3:23" ht="13.9" customHeight="1">
      <c r="C294" s="69">
        <v>14135841</v>
      </c>
      <c r="D294" s="70">
        <v>209</v>
      </c>
      <c r="E294" s="70">
        <v>13890</v>
      </c>
      <c r="F294" s="70" t="s">
        <v>514</v>
      </c>
      <c r="G294" s="70" t="s">
        <v>515</v>
      </c>
      <c r="H294" s="70" t="s">
        <v>86</v>
      </c>
      <c r="I294" s="70">
        <v>9005</v>
      </c>
      <c r="J294" s="71">
        <f>VLOOKUP(C294,'Base ejecuciones Oct-17 (2)'!A284:M779,2,0)</f>
        <v>86</v>
      </c>
      <c r="K294" s="71"/>
      <c r="L294" s="71">
        <f>VLOOKUP(C294,'Base ejecuciones Oct-17 (2)'!A285:M779,4,0)</f>
        <v>16</v>
      </c>
      <c r="M294" s="71"/>
      <c r="N294" s="71"/>
      <c r="O294" s="71"/>
      <c r="P294" s="71"/>
      <c r="Q294" s="71"/>
      <c r="R294" s="71"/>
      <c r="S294" s="71"/>
      <c r="T294" s="71"/>
      <c r="U294" s="71"/>
      <c r="W294"/>
    </row>
    <row r="295" spans="3:23" ht="13.9" customHeight="1">
      <c r="C295" s="69">
        <v>1024468109</v>
      </c>
      <c r="D295" s="70">
        <v>53</v>
      </c>
      <c r="E295" s="70">
        <v>36633</v>
      </c>
      <c r="F295" s="70" t="s">
        <v>450</v>
      </c>
      <c r="G295" s="70" t="s">
        <v>516</v>
      </c>
      <c r="H295" s="70" t="s">
        <v>86</v>
      </c>
      <c r="I295" s="70">
        <v>9002</v>
      </c>
      <c r="J295" s="71">
        <f>VLOOKUP(C295,'Base ejecuciones Oct-17 (2)'!A285:M780,2,0)</f>
        <v>85</v>
      </c>
      <c r="K295" s="71"/>
      <c r="L295" s="71">
        <f>VLOOKUP(C295,'Base ejecuciones Oct-17 (2)'!A286:M780,4,0)</f>
        <v>6</v>
      </c>
      <c r="M295" s="71"/>
      <c r="N295" s="71"/>
      <c r="O295" s="71"/>
      <c r="P295" s="71"/>
      <c r="Q295" s="71"/>
      <c r="R295" s="71"/>
      <c r="S295" s="71"/>
      <c r="T295" s="71"/>
      <c r="U295" s="71"/>
      <c r="W295"/>
    </row>
    <row r="296" spans="3:23" ht="13.9" customHeight="1">
      <c r="C296" s="69">
        <v>10782685</v>
      </c>
      <c r="D296" s="70">
        <v>191</v>
      </c>
      <c r="E296" s="70">
        <v>8219</v>
      </c>
      <c r="F296" s="70" t="s">
        <v>420</v>
      </c>
      <c r="G296" s="70" t="s">
        <v>517</v>
      </c>
      <c r="H296" s="70" t="s">
        <v>86</v>
      </c>
      <c r="I296" s="70">
        <v>9007</v>
      </c>
      <c r="J296" s="71">
        <f>VLOOKUP(C296,'Base ejecuciones Oct-17 (2)'!A286:M781,2,0)</f>
        <v>72</v>
      </c>
      <c r="K296" s="71"/>
      <c r="L296" s="71">
        <f>VLOOKUP(C296,'Base ejecuciones Oct-17 (2)'!A287:M781,4,0)</f>
        <v>6</v>
      </c>
      <c r="M296" s="71"/>
      <c r="N296" s="71"/>
      <c r="O296" s="71"/>
      <c r="P296" s="71"/>
      <c r="Q296" s="71"/>
      <c r="R296" s="71"/>
      <c r="S296" s="71"/>
      <c r="T296" s="71"/>
      <c r="U296" s="71"/>
      <c r="W296"/>
    </row>
    <row r="297" spans="3:23" ht="13.9" customHeight="1">
      <c r="C297" s="69">
        <v>1014265444</v>
      </c>
      <c r="D297" s="70">
        <v>57</v>
      </c>
      <c r="E297" s="70">
        <v>9864</v>
      </c>
      <c r="F297" s="70" t="s">
        <v>518</v>
      </c>
      <c r="G297" s="70" t="s">
        <v>519</v>
      </c>
      <c r="H297" s="70" t="s">
        <v>86</v>
      </c>
      <c r="I297" s="70">
        <v>9003</v>
      </c>
      <c r="J297" s="71">
        <f>VLOOKUP(C297,'Base ejecuciones Oct-17 (2)'!A287:M782,2,0)</f>
        <v>85</v>
      </c>
      <c r="K297" s="71"/>
      <c r="L297" s="71">
        <f>VLOOKUP(C297,'Base ejecuciones Oct-17 (2)'!A288:M782,4,0)</f>
        <v>10</v>
      </c>
      <c r="M297" s="71"/>
      <c r="N297" s="71"/>
      <c r="O297" s="71"/>
      <c r="P297" s="71"/>
      <c r="Q297" s="71"/>
      <c r="R297" s="71"/>
      <c r="S297" s="71"/>
      <c r="T297" s="71"/>
      <c r="U297" s="71"/>
      <c r="W297"/>
    </row>
    <row r="298" spans="3:23" ht="13.9" customHeight="1">
      <c r="C298" s="69">
        <v>1019011320</v>
      </c>
      <c r="D298" s="70">
        <v>98</v>
      </c>
      <c r="E298" s="70">
        <v>37300</v>
      </c>
      <c r="F298" s="70" t="s">
        <v>520</v>
      </c>
      <c r="G298" s="70" t="s">
        <v>521</v>
      </c>
      <c r="H298" s="70" t="s">
        <v>86</v>
      </c>
      <c r="I298" s="70">
        <v>9002</v>
      </c>
      <c r="J298" s="71">
        <f>VLOOKUP(C298,'Base ejecuciones Oct-17 (2)'!A288:M783,2,0)</f>
        <v>111</v>
      </c>
      <c r="K298" s="71"/>
      <c r="L298" s="71">
        <f>VLOOKUP(C298,'Base ejecuciones Oct-17 (2)'!A289:M783,4,0)</f>
        <v>12</v>
      </c>
      <c r="M298" s="71"/>
      <c r="N298" s="71"/>
      <c r="O298" s="71"/>
      <c r="P298" s="71"/>
      <c r="Q298" s="71"/>
      <c r="R298" s="71"/>
      <c r="S298" s="71"/>
      <c r="T298" s="71"/>
      <c r="U298" s="71"/>
      <c r="W298"/>
    </row>
    <row r="299" spans="3:23" ht="13.9" customHeight="1">
      <c r="C299" s="69">
        <v>45647324</v>
      </c>
      <c r="D299" s="70">
        <v>790</v>
      </c>
      <c r="E299" s="70">
        <v>9974</v>
      </c>
      <c r="F299" s="70" t="s">
        <v>434</v>
      </c>
      <c r="G299" s="70" t="s">
        <v>522</v>
      </c>
      <c r="H299" s="70" t="s">
        <v>116</v>
      </c>
      <c r="I299" s="70">
        <v>9007</v>
      </c>
      <c r="J299" s="71">
        <f>VLOOKUP(C299,'Base ejecuciones Oct-17 (2)'!A289:M784,2,0)</f>
        <v>41</v>
      </c>
      <c r="K299" s="71"/>
      <c r="L299" s="71">
        <f>VLOOKUP(C299,'Base ejecuciones Oct-17 (2)'!A290:M784,4,0)</f>
        <v>6</v>
      </c>
      <c r="M299" s="71"/>
      <c r="N299" s="71"/>
      <c r="O299" s="71"/>
      <c r="P299" s="71"/>
      <c r="Q299" s="71"/>
      <c r="R299" s="71"/>
      <c r="S299" s="71"/>
      <c r="T299" s="71"/>
      <c r="U299" s="71"/>
      <c r="W299"/>
    </row>
    <row r="300" spans="3:23" ht="13.9" customHeight="1">
      <c r="C300" s="69">
        <v>1023950498</v>
      </c>
      <c r="D300" s="70">
        <v>64</v>
      </c>
      <c r="E300" s="70">
        <v>36870</v>
      </c>
      <c r="F300" s="70" t="s">
        <v>331</v>
      </c>
      <c r="G300" s="70" t="s">
        <v>523</v>
      </c>
      <c r="H300" s="70" t="s">
        <v>86</v>
      </c>
      <c r="I300" s="70">
        <v>9004</v>
      </c>
      <c r="J300" s="71">
        <f>VLOOKUP(C300,'Base ejecuciones Oct-17 (2)'!A290:M785,2,0)</f>
        <v>88</v>
      </c>
      <c r="K300" s="71"/>
      <c r="L300" s="71">
        <f>VLOOKUP(C300,'Base ejecuciones Oct-17 (2)'!A291:M785,4,0)</f>
        <v>10</v>
      </c>
      <c r="M300" s="71"/>
      <c r="N300" s="71"/>
      <c r="O300" s="71"/>
      <c r="P300" s="71"/>
      <c r="Q300" s="71"/>
      <c r="R300" s="71"/>
      <c r="S300" s="71"/>
      <c r="T300" s="71"/>
      <c r="U300" s="71"/>
      <c r="W300"/>
    </row>
    <row r="301" spans="3:23" ht="13.9" customHeight="1">
      <c r="C301" s="69">
        <v>16452335</v>
      </c>
      <c r="D301" s="70">
        <v>586</v>
      </c>
      <c r="E301" s="70">
        <v>8235</v>
      </c>
      <c r="F301" s="70" t="s">
        <v>390</v>
      </c>
      <c r="G301" s="70" t="s">
        <v>524</v>
      </c>
      <c r="H301" s="70" t="s">
        <v>86</v>
      </c>
      <c r="I301" s="70">
        <v>9006</v>
      </c>
      <c r="J301" s="71">
        <f>VLOOKUP(C301,'Base ejecuciones Oct-17 (2)'!A291:M786,2,0)</f>
        <v>55</v>
      </c>
      <c r="K301" s="71"/>
      <c r="L301" s="71">
        <f>VLOOKUP(C301,'Base ejecuciones Oct-17 (2)'!A292:M786,4,0)</f>
        <v>13</v>
      </c>
      <c r="M301" s="71"/>
      <c r="N301" s="71"/>
      <c r="O301" s="71"/>
      <c r="P301" s="71"/>
      <c r="Q301" s="71"/>
      <c r="R301" s="71"/>
      <c r="S301" s="71"/>
      <c r="T301" s="71"/>
      <c r="U301" s="71"/>
      <c r="W301"/>
    </row>
    <row r="302" spans="3:23" ht="13.9" customHeight="1">
      <c r="C302" s="69">
        <v>1070005061</v>
      </c>
      <c r="D302" s="70">
        <v>81</v>
      </c>
      <c r="E302" s="70">
        <v>9872</v>
      </c>
      <c r="F302" s="70" t="s">
        <v>429</v>
      </c>
      <c r="G302" s="70" t="s">
        <v>525</v>
      </c>
      <c r="H302" s="70" t="s">
        <v>86</v>
      </c>
      <c r="I302" s="70">
        <v>9001</v>
      </c>
      <c r="J302" s="71">
        <f>VLOOKUP(C302,'Base ejecuciones Oct-17 (2)'!A292:M787,2,0)</f>
        <v>20</v>
      </c>
      <c r="K302" s="71"/>
      <c r="L302" s="71">
        <f>VLOOKUP(C302,'Base ejecuciones Oct-17 (2)'!A293:M787,4,0)</f>
        <v>8</v>
      </c>
      <c r="M302" s="71"/>
      <c r="N302" s="71"/>
      <c r="O302" s="71"/>
      <c r="P302" s="71"/>
      <c r="Q302" s="71"/>
      <c r="R302" s="71"/>
      <c r="S302" s="71"/>
      <c r="T302" s="71"/>
      <c r="U302" s="71"/>
      <c r="W302"/>
    </row>
    <row r="303" spans="3:23" ht="13.9" customHeight="1">
      <c r="C303" s="69">
        <v>1024586012</v>
      </c>
      <c r="D303" s="70">
        <v>468</v>
      </c>
      <c r="E303" s="70">
        <v>38817</v>
      </c>
      <c r="F303" s="70" t="s">
        <v>125</v>
      </c>
      <c r="G303" s="70" t="s">
        <v>526</v>
      </c>
      <c r="H303" s="70" t="s">
        <v>116</v>
      </c>
      <c r="I303" s="70">
        <v>9004</v>
      </c>
      <c r="J303" s="71">
        <f>VLOOKUP(C303,'Base ejecuciones Oct-17 (2)'!A293:M788,2,0)</f>
        <v>67</v>
      </c>
      <c r="K303" s="71"/>
      <c r="L303" s="71">
        <f>VLOOKUP(C303,'Base ejecuciones Oct-17 (2)'!A294:M788,4,0)</f>
        <v>2</v>
      </c>
      <c r="M303" s="71"/>
      <c r="N303" s="71"/>
      <c r="O303" s="71"/>
      <c r="P303" s="71"/>
      <c r="Q303" s="71"/>
      <c r="R303" s="71"/>
      <c r="S303" s="71"/>
      <c r="T303" s="71"/>
      <c r="U303" s="71"/>
      <c r="W303"/>
    </row>
    <row r="304" spans="3:23" ht="13.9" customHeight="1">
      <c r="C304" s="69">
        <v>1019079199</v>
      </c>
      <c r="D304" s="70">
        <v>37</v>
      </c>
      <c r="E304" s="70">
        <v>35970</v>
      </c>
      <c r="F304" s="70" t="s">
        <v>490</v>
      </c>
      <c r="G304" s="70" t="s">
        <v>527</v>
      </c>
      <c r="H304" s="70" t="s">
        <v>116</v>
      </c>
      <c r="I304" s="70">
        <v>9001</v>
      </c>
      <c r="J304" s="71">
        <f>VLOOKUP(C304,'Base ejecuciones Oct-17 (2)'!A294:M789,2,0)</f>
        <v>67</v>
      </c>
      <c r="K304" s="71"/>
      <c r="L304" s="71">
        <f>VLOOKUP(C304,'Base ejecuciones Oct-17 (2)'!A295:M789,4,0)</f>
        <v>7</v>
      </c>
      <c r="M304" s="71"/>
      <c r="N304" s="71"/>
      <c r="O304" s="71"/>
      <c r="P304" s="71"/>
      <c r="Q304" s="71"/>
      <c r="R304" s="71"/>
      <c r="S304" s="71"/>
      <c r="T304" s="71"/>
      <c r="U304" s="71"/>
      <c r="W304"/>
    </row>
    <row r="305" spans="3:23" ht="13.9" customHeight="1">
      <c r="C305" s="69">
        <v>8356403</v>
      </c>
      <c r="D305" s="70">
        <v>190</v>
      </c>
      <c r="E305" s="70">
        <v>9962</v>
      </c>
      <c r="F305" s="70" t="s">
        <v>502</v>
      </c>
      <c r="G305" s="70" t="s">
        <v>528</v>
      </c>
      <c r="H305" s="70" t="s">
        <v>86</v>
      </c>
      <c r="I305" s="70">
        <v>9007</v>
      </c>
      <c r="J305" s="71">
        <f>VLOOKUP(C305,'Base ejecuciones Oct-17 (2)'!A295:M790,2,0)</f>
        <v>14</v>
      </c>
      <c r="K305" s="71"/>
      <c r="L305" s="71">
        <f>VLOOKUP(C305,'Base ejecuciones Oct-17 (2)'!A296:M790,4,0)</f>
        <v>7</v>
      </c>
      <c r="M305" s="71"/>
      <c r="N305" s="71"/>
      <c r="O305" s="71"/>
      <c r="P305" s="71"/>
      <c r="Q305" s="71"/>
      <c r="R305" s="71"/>
      <c r="S305" s="71"/>
      <c r="T305" s="71"/>
      <c r="U305" s="71"/>
      <c r="W305"/>
    </row>
    <row r="306" spans="3:23" ht="13.9" customHeight="1">
      <c r="C306" s="69">
        <v>1013596375</v>
      </c>
      <c r="D306" s="70">
        <v>24</v>
      </c>
      <c r="E306" s="70">
        <v>9840</v>
      </c>
      <c r="F306" s="70" t="s">
        <v>345</v>
      </c>
      <c r="G306" s="70" t="s">
        <v>529</v>
      </c>
      <c r="H306" s="70" t="s">
        <v>86</v>
      </c>
      <c r="I306" s="70">
        <v>9001</v>
      </c>
      <c r="J306" s="71">
        <f>VLOOKUP(C306,'Base ejecuciones Oct-17 (2)'!A296:M791,2,0)</f>
        <v>0</v>
      </c>
      <c r="K306" s="71"/>
      <c r="L306" s="71">
        <f>VLOOKUP(C306,'Base ejecuciones Oct-17 (2)'!A297:M791,4,0)</f>
        <v>0</v>
      </c>
      <c r="M306" s="71"/>
      <c r="N306" s="71"/>
      <c r="O306" s="71"/>
      <c r="P306" s="71"/>
      <c r="Q306" s="71"/>
      <c r="R306" s="71"/>
      <c r="S306" s="71"/>
      <c r="T306" s="71"/>
      <c r="U306" s="71"/>
      <c r="W306"/>
    </row>
    <row r="307" spans="3:23" ht="13.9" customHeight="1">
      <c r="C307" s="69">
        <v>66776912</v>
      </c>
      <c r="D307" s="70">
        <v>159</v>
      </c>
      <c r="E307" s="70">
        <v>8252</v>
      </c>
      <c r="F307" s="70" t="s">
        <v>530</v>
      </c>
      <c r="G307" s="70" t="s">
        <v>531</v>
      </c>
      <c r="H307" s="70" t="s">
        <v>86</v>
      </c>
      <c r="I307" s="70">
        <v>9006</v>
      </c>
      <c r="J307" s="71">
        <f>VLOOKUP(C307,'Base ejecuciones Oct-17 (2)'!A297:M792,2,0)</f>
        <v>91</v>
      </c>
      <c r="K307" s="71"/>
      <c r="L307" s="71">
        <f>VLOOKUP(C307,'Base ejecuciones Oct-17 (2)'!A298:M792,4,0)</f>
        <v>7</v>
      </c>
      <c r="M307" s="71"/>
      <c r="N307" s="71"/>
      <c r="O307" s="71"/>
      <c r="P307" s="71"/>
      <c r="Q307" s="71"/>
      <c r="R307" s="71"/>
      <c r="S307" s="71"/>
      <c r="T307" s="71"/>
      <c r="U307" s="71"/>
      <c r="W307"/>
    </row>
    <row r="308" spans="3:23" ht="13.9" customHeight="1">
      <c r="C308" s="69">
        <v>30775465</v>
      </c>
      <c r="D308" s="70">
        <v>798</v>
      </c>
      <c r="E308" s="70">
        <v>8322</v>
      </c>
      <c r="F308" s="70" t="s">
        <v>532</v>
      </c>
      <c r="G308" s="70" t="s">
        <v>533</v>
      </c>
      <c r="H308" s="70" t="s">
        <v>86</v>
      </c>
      <c r="I308" s="70">
        <v>9009</v>
      </c>
      <c r="J308" s="71">
        <f>VLOOKUP(C308,'Base ejecuciones Oct-17 (2)'!A298:M793,2,0)</f>
        <v>78</v>
      </c>
      <c r="K308" s="71"/>
      <c r="L308" s="71">
        <f>VLOOKUP(C308,'Base ejecuciones Oct-17 (2)'!A299:M793,4,0)</f>
        <v>12</v>
      </c>
      <c r="M308" s="71"/>
      <c r="N308" s="71"/>
      <c r="O308" s="71"/>
      <c r="P308" s="71"/>
      <c r="Q308" s="71"/>
      <c r="R308" s="71"/>
      <c r="S308" s="71"/>
      <c r="T308" s="71"/>
      <c r="U308" s="71"/>
      <c r="W308"/>
    </row>
    <row r="309" spans="3:23" ht="13.9" customHeight="1">
      <c r="C309" s="69">
        <v>1071549297</v>
      </c>
      <c r="D309" s="70">
        <v>27</v>
      </c>
      <c r="E309" s="70">
        <v>37985</v>
      </c>
      <c r="F309" s="70" t="s">
        <v>264</v>
      </c>
      <c r="G309" s="70" t="s">
        <v>534</v>
      </c>
      <c r="H309" s="70" t="s">
        <v>116</v>
      </c>
      <c r="I309" s="70">
        <v>9001</v>
      </c>
      <c r="J309" s="71">
        <f>VLOOKUP(C309,'Base ejecuciones Oct-17 (2)'!A299:M794,2,0)</f>
        <v>61</v>
      </c>
      <c r="K309" s="71"/>
      <c r="L309" s="71">
        <f>VLOOKUP(C309,'Base ejecuciones Oct-17 (2)'!A300:M794,4,0)</f>
        <v>10</v>
      </c>
      <c r="M309" s="71"/>
      <c r="N309" s="71"/>
      <c r="O309" s="71"/>
      <c r="P309" s="71"/>
      <c r="Q309" s="71"/>
      <c r="R309" s="71"/>
      <c r="S309" s="71"/>
      <c r="T309" s="71"/>
      <c r="U309" s="71"/>
      <c r="W309"/>
    </row>
    <row r="310" spans="3:23" ht="13.9" customHeight="1">
      <c r="C310" s="69">
        <v>1033718896</v>
      </c>
      <c r="D310" s="70">
        <v>440</v>
      </c>
      <c r="E310" s="70">
        <v>35984</v>
      </c>
      <c r="F310" s="70" t="s">
        <v>382</v>
      </c>
      <c r="G310" s="70" t="s">
        <v>535</v>
      </c>
      <c r="H310" s="70" t="s">
        <v>86</v>
      </c>
      <c r="I310" s="70">
        <v>9002</v>
      </c>
      <c r="J310" s="71">
        <f>VLOOKUP(C310,'Base ejecuciones Oct-17 (2)'!A300:M795,2,0)</f>
        <v>34</v>
      </c>
      <c r="K310" s="71"/>
      <c r="L310" s="71">
        <f>VLOOKUP(C310,'Base ejecuciones Oct-17 (2)'!A301:M795,4,0)</f>
        <v>8</v>
      </c>
      <c r="M310" s="71"/>
      <c r="N310" s="71"/>
      <c r="O310" s="71"/>
      <c r="P310" s="71"/>
      <c r="Q310" s="71"/>
      <c r="R310" s="71"/>
      <c r="S310" s="71"/>
      <c r="T310" s="71"/>
      <c r="U310" s="71"/>
      <c r="W310"/>
    </row>
    <row r="311" spans="3:23" ht="13.9" customHeight="1">
      <c r="C311" s="69">
        <v>35536092</v>
      </c>
      <c r="D311" s="70">
        <v>757</v>
      </c>
      <c r="E311" s="70">
        <v>8527</v>
      </c>
      <c r="F311" s="70" t="s">
        <v>536</v>
      </c>
      <c r="G311" s="70" t="s">
        <v>537</v>
      </c>
      <c r="H311" s="70" t="s">
        <v>86</v>
      </c>
      <c r="I311" s="70">
        <v>9003</v>
      </c>
      <c r="J311" s="71">
        <f>VLOOKUP(C311,'Base ejecuciones Oct-17 (2)'!A301:M796,2,0)</f>
        <v>70</v>
      </c>
      <c r="K311" s="71"/>
      <c r="L311" s="71">
        <f>VLOOKUP(C311,'Base ejecuciones Oct-17 (2)'!A302:M796,4,0)</f>
        <v>5</v>
      </c>
      <c r="M311" s="71"/>
      <c r="N311" s="71"/>
      <c r="O311" s="71"/>
      <c r="P311" s="71"/>
      <c r="Q311" s="71"/>
      <c r="R311" s="71"/>
      <c r="S311" s="71"/>
      <c r="T311" s="71"/>
      <c r="U311" s="71"/>
      <c r="W311"/>
    </row>
    <row r="312" spans="3:23" ht="13.9" customHeight="1">
      <c r="C312" s="69">
        <v>1110510965</v>
      </c>
      <c r="D312" s="70">
        <v>98</v>
      </c>
      <c r="E312" s="70">
        <v>37913</v>
      </c>
      <c r="F312" s="70" t="s">
        <v>520</v>
      </c>
      <c r="G312" s="70" t="s">
        <v>538</v>
      </c>
      <c r="H312" s="70" t="s">
        <v>86</v>
      </c>
      <c r="I312" s="70">
        <v>9002</v>
      </c>
      <c r="J312" s="71">
        <f>VLOOKUP(C312,'Base ejecuciones Oct-17 (2)'!A302:M797,2,0)</f>
        <v>94</v>
      </c>
      <c r="K312" s="71"/>
      <c r="L312" s="71">
        <f>VLOOKUP(C312,'Base ejecuciones Oct-17 (2)'!A303:M797,4,0)</f>
        <v>2</v>
      </c>
      <c r="M312" s="71"/>
      <c r="N312" s="71"/>
      <c r="O312" s="71"/>
      <c r="P312" s="71"/>
      <c r="Q312" s="71"/>
      <c r="R312" s="71"/>
      <c r="S312" s="71"/>
      <c r="T312" s="71"/>
      <c r="U312" s="71"/>
      <c r="W312"/>
    </row>
    <row r="313" spans="3:23" ht="13.9" customHeight="1">
      <c r="C313" s="69">
        <v>1117519854</v>
      </c>
      <c r="D313" s="70">
        <v>460</v>
      </c>
      <c r="E313" s="70">
        <v>37545</v>
      </c>
      <c r="F313" s="70" t="s">
        <v>239</v>
      </c>
      <c r="G313" s="70" t="s">
        <v>539</v>
      </c>
      <c r="H313" s="70" t="s">
        <v>86</v>
      </c>
      <c r="I313" s="70">
        <v>9002</v>
      </c>
      <c r="J313" s="71">
        <f>VLOOKUP(C313,'Base ejecuciones Oct-17 (2)'!A303:M798,2,0)</f>
        <v>57</v>
      </c>
      <c r="K313" s="71"/>
      <c r="L313" s="71">
        <f>VLOOKUP(C313,'Base ejecuciones Oct-17 (2)'!A304:M798,4,0)</f>
        <v>9</v>
      </c>
      <c r="M313" s="71"/>
      <c r="N313" s="71"/>
      <c r="O313" s="71"/>
      <c r="P313" s="71"/>
      <c r="Q313" s="71"/>
      <c r="R313" s="71"/>
      <c r="S313" s="71"/>
      <c r="T313" s="71"/>
      <c r="U313" s="71"/>
      <c r="W313"/>
    </row>
    <row r="314" spans="3:23" ht="13.9" customHeight="1">
      <c r="C314" s="69">
        <v>1031159675</v>
      </c>
      <c r="D314" s="70">
        <v>63</v>
      </c>
      <c r="E314" s="70">
        <v>9764</v>
      </c>
      <c r="F314" s="70" t="s">
        <v>114</v>
      </c>
      <c r="G314" s="70" t="s">
        <v>540</v>
      </c>
      <c r="H314" s="70" t="s">
        <v>86</v>
      </c>
      <c r="I314" s="70">
        <v>9004</v>
      </c>
      <c r="J314" s="71">
        <f>VLOOKUP(C314,'Base ejecuciones Oct-17 (2)'!A304:M799,2,0)</f>
        <v>61</v>
      </c>
      <c r="K314" s="71"/>
      <c r="L314" s="71">
        <f>VLOOKUP(C314,'Base ejecuciones Oct-17 (2)'!A305:M799,4,0)</f>
        <v>12</v>
      </c>
      <c r="M314" s="71"/>
      <c r="N314" s="71"/>
      <c r="O314" s="71"/>
      <c r="P314" s="71"/>
      <c r="Q314" s="71"/>
      <c r="R314" s="71"/>
      <c r="S314" s="71"/>
      <c r="T314" s="71"/>
      <c r="U314" s="71"/>
      <c r="W314"/>
    </row>
    <row r="315" spans="3:23" ht="13.9" customHeight="1">
      <c r="C315" s="69">
        <v>1073512421</v>
      </c>
      <c r="D315" s="70">
        <v>443</v>
      </c>
      <c r="E315" s="70">
        <v>9785</v>
      </c>
      <c r="F315" s="70" t="s">
        <v>455</v>
      </c>
      <c r="G315" s="70" t="s">
        <v>541</v>
      </c>
      <c r="H315" s="70" t="s">
        <v>86</v>
      </c>
      <c r="I315" s="70">
        <v>9001</v>
      </c>
      <c r="J315" s="71">
        <f>VLOOKUP(C315,'Base ejecuciones Oct-17 (2)'!A305:M800,2,0)</f>
        <v>8</v>
      </c>
      <c r="K315" s="71"/>
      <c r="L315" s="71">
        <f>VLOOKUP(C315,'Base ejecuciones Oct-17 (2)'!A306:M800,4,0)</f>
        <v>0</v>
      </c>
      <c r="M315" s="71"/>
      <c r="N315" s="71"/>
      <c r="O315" s="71"/>
      <c r="P315" s="71"/>
      <c r="Q315" s="71"/>
      <c r="R315" s="71"/>
      <c r="S315" s="71"/>
      <c r="T315" s="71"/>
      <c r="U315" s="71"/>
      <c r="W315"/>
    </row>
    <row r="316" spans="3:23" ht="13.9" customHeight="1">
      <c r="C316" s="69">
        <v>1114819342</v>
      </c>
      <c r="D316" s="70">
        <v>159</v>
      </c>
      <c r="E316" s="70">
        <v>8846</v>
      </c>
      <c r="F316" s="70" t="s">
        <v>530</v>
      </c>
      <c r="G316" s="70" t="s">
        <v>542</v>
      </c>
      <c r="H316" s="70" t="s">
        <v>86</v>
      </c>
      <c r="I316" s="70">
        <v>9006</v>
      </c>
      <c r="J316" s="71">
        <f>VLOOKUP(C316,'Base ejecuciones Oct-17 (2)'!A306:M801,2,0)</f>
        <v>57</v>
      </c>
      <c r="K316" s="71"/>
      <c r="L316" s="71">
        <f>VLOOKUP(C316,'Base ejecuciones Oct-17 (2)'!A307:M801,4,0)</f>
        <v>10</v>
      </c>
      <c r="M316" s="71"/>
      <c r="N316" s="71"/>
      <c r="O316" s="71"/>
      <c r="P316" s="71"/>
      <c r="Q316" s="71"/>
      <c r="R316" s="71"/>
      <c r="S316" s="71"/>
      <c r="T316" s="71"/>
      <c r="U316" s="71"/>
      <c r="W316"/>
    </row>
    <row r="317" spans="3:23" ht="13.9" customHeight="1">
      <c r="C317" s="69">
        <v>1065613673</v>
      </c>
      <c r="D317" s="70">
        <v>123</v>
      </c>
      <c r="E317" s="70">
        <v>9891</v>
      </c>
      <c r="F317" s="70" t="s">
        <v>543</v>
      </c>
      <c r="G317" s="70" t="s">
        <v>544</v>
      </c>
      <c r="H317" s="70" t="s">
        <v>86</v>
      </c>
      <c r="I317" s="70">
        <v>9009</v>
      </c>
      <c r="J317" s="71">
        <f>VLOOKUP(C317,'Base ejecuciones Oct-17 (2)'!A307:M802,2,0)</f>
        <v>79</v>
      </c>
      <c r="K317" s="71"/>
      <c r="L317" s="71">
        <f>VLOOKUP(C317,'Base ejecuciones Oct-17 (2)'!A308:M802,4,0)</f>
        <v>7</v>
      </c>
      <c r="M317" s="71"/>
      <c r="N317" s="71"/>
      <c r="O317" s="71"/>
      <c r="P317" s="71"/>
      <c r="Q317" s="71"/>
      <c r="R317" s="71"/>
      <c r="S317" s="71"/>
      <c r="T317" s="71"/>
      <c r="U317" s="71"/>
      <c r="W317"/>
    </row>
    <row r="318" spans="3:23" ht="13.9" customHeight="1">
      <c r="C318" s="69">
        <v>1095823021</v>
      </c>
      <c r="D318" s="70">
        <v>467</v>
      </c>
      <c r="E318" s="70">
        <v>36939</v>
      </c>
      <c r="F318" s="70" t="s">
        <v>473</v>
      </c>
      <c r="G318" s="70" t="s">
        <v>545</v>
      </c>
      <c r="H318" s="70" t="s">
        <v>86</v>
      </c>
      <c r="I318" s="70">
        <v>9004</v>
      </c>
      <c r="J318" s="71">
        <f>VLOOKUP(C318,'Base ejecuciones Oct-17 (2)'!A308:M803,2,0)</f>
        <v>66</v>
      </c>
      <c r="K318" s="71"/>
      <c r="L318" s="71">
        <f>VLOOKUP(C318,'Base ejecuciones Oct-17 (2)'!A309:M803,4,0)</f>
        <v>6</v>
      </c>
      <c r="M318" s="71"/>
      <c r="N318" s="71"/>
      <c r="O318" s="71"/>
      <c r="P318" s="71"/>
      <c r="Q318" s="71"/>
      <c r="R318" s="71"/>
      <c r="S318" s="71"/>
      <c r="T318" s="71"/>
      <c r="U318" s="71"/>
      <c r="W318"/>
    </row>
    <row r="319" spans="3:23" ht="13.9" customHeight="1">
      <c r="C319" s="69">
        <v>55221108</v>
      </c>
      <c r="D319" s="70">
        <v>121</v>
      </c>
      <c r="E319" s="70">
        <v>9621</v>
      </c>
      <c r="F319" s="70" t="s">
        <v>406</v>
      </c>
      <c r="G319" s="70" t="s">
        <v>546</v>
      </c>
      <c r="H319" s="70" t="s">
        <v>86</v>
      </c>
      <c r="I319" s="70">
        <v>9009</v>
      </c>
      <c r="J319" s="71">
        <f>VLOOKUP(C319,'Base ejecuciones Oct-17 (2)'!A309:M804,2,0)</f>
        <v>61</v>
      </c>
      <c r="K319" s="71"/>
      <c r="L319" s="71">
        <f>VLOOKUP(C319,'Base ejecuciones Oct-17 (2)'!A310:M804,4,0)</f>
        <v>13</v>
      </c>
      <c r="M319" s="71"/>
      <c r="N319" s="71"/>
      <c r="O319" s="71"/>
      <c r="P319" s="71"/>
      <c r="Q319" s="71"/>
      <c r="R319" s="71"/>
      <c r="S319" s="71"/>
      <c r="T319" s="71"/>
      <c r="U319" s="71"/>
      <c r="W319"/>
    </row>
    <row r="320" spans="3:23" ht="13.9" customHeight="1">
      <c r="C320" s="69">
        <v>86070441</v>
      </c>
      <c r="D320" s="70">
        <v>93</v>
      </c>
      <c r="E320" s="70">
        <v>20628</v>
      </c>
      <c r="F320" s="70" t="s">
        <v>395</v>
      </c>
      <c r="G320" s="70" t="s">
        <v>547</v>
      </c>
      <c r="H320" s="70" t="s">
        <v>86</v>
      </c>
      <c r="I320" s="70">
        <v>9008</v>
      </c>
      <c r="J320" s="71">
        <f>VLOOKUP(C320,'Base ejecuciones Oct-17 (2)'!A310:M805,2,0)</f>
        <v>134</v>
      </c>
      <c r="K320" s="71"/>
      <c r="L320" s="71">
        <f>VLOOKUP(C320,'Base ejecuciones Oct-17 (2)'!A311:M805,4,0)</f>
        <v>9</v>
      </c>
      <c r="M320" s="71"/>
      <c r="N320" s="71"/>
      <c r="O320" s="71"/>
      <c r="P320" s="71"/>
      <c r="Q320" s="71"/>
      <c r="R320" s="71"/>
      <c r="S320" s="71"/>
      <c r="T320" s="71"/>
      <c r="U320" s="71"/>
      <c r="W320"/>
    </row>
    <row r="321" spans="3:23" ht="13.9" customHeight="1">
      <c r="C321" s="69">
        <v>1020733998</v>
      </c>
      <c r="D321" s="70">
        <v>12</v>
      </c>
      <c r="E321" s="70">
        <v>9570</v>
      </c>
      <c r="F321" s="70" t="s">
        <v>84</v>
      </c>
      <c r="G321" s="70" t="s">
        <v>548</v>
      </c>
      <c r="H321" s="70" t="s">
        <v>86</v>
      </c>
      <c r="I321" s="70">
        <v>9002</v>
      </c>
      <c r="J321" s="71">
        <f>VLOOKUP(C321,'Base ejecuciones Oct-17 (2)'!A311:M806,2,0)</f>
        <v>41</v>
      </c>
      <c r="K321" s="71"/>
      <c r="L321" s="71">
        <f>VLOOKUP(C321,'Base ejecuciones Oct-17 (2)'!A312:M806,4,0)</f>
        <v>7</v>
      </c>
      <c r="M321" s="71"/>
      <c r="N321" s="71"/>
      <c r="O321" s="71"/>
      <c r="P321" s="71"/>
      <c r="Q321" s="71"/>
      <c r="R321" s="71"/>
      <c r="S321" s="71"/>
      <c r="T321" s="71"/>
      <c r="U321" s="71"/>
      <c r="W321"/>
    </row>
    <row r="322" spans="3:23" ht="13.9" customHeight="1">
      <c r="C322" s="69">
        <v>1102848741</v>
      </c>
      <c r="D322" s="70">
        <v>936</v>
      </c>
      <c r="E322" s="70">
        <v>9162</v>
      </c>
      <c r="F322" s="70" t="s">
        <v>549</v>
      </c>
      <c r="G322" s="70" t="s">
        <v>550</v>
      </c>
      <c r="H322" s="70" t="s">
        <v>86</v>
      </c>
      <c r="I322" s="70">
        <v>9007</v>
      </c>
      <c r="J322" s="71">
        <f>VLOOKUP(C322,'Base ejecuciones Oct-17 (2)'!A312:M807,2,0)</f>
        <v>84</v>
      </c>
      <c r="K322" s="71"/>
      <c r="L322" s="71">
        <f>VLOOKUP(C322,'Base ejecuciones Oct-17 (2)'!A313:M807,4,0)</f>
        <v>5</v>
      </c>
      <c r="M322" s="71"/>
      <c r="N322" s="71"/>
      <c r="O322" s="71"/>
      <c r="P322" s="71"/>
      <c r="Q322" s="71"/>
      <c r="R322" s="71"/>
      <c r="S322" s="71"/>
      <c r="T322" s="71"/>
      <c r="U322" s="71"/>
      <c r="W322"/>
    </row>
    <row r="323" spans="3:23" ht="13.9" customHeight="1">
      <c r="C323" s="69">
        <v>1053809183</v>
      </c>
      <c r="D323" s="70">
        <v>204</v>
      </c>
      <c r="E323" s="70">
        <v>38709</v>
      </c>
      <c r="F323" s="70" t="s">
        <v>130</v>
      </c>
      <c r="G323" s="70" t="s">
        <v>551</v>
      </c>
      <c r="H323" s="70" t="s">
        <v>86</v>
      </c>
      <c r="I323" s="70">
        <v>9005</v>
      </c>
      <c r="J323" s="71">
        <f>VLOOKUP(C323,'Base ejecuciones Oct-17 (2)'!A313:M808,2,0)</f>
        <v>79</v>
      </c>
      <c r="K323" s="71"/>
      <c r="L323" s="71">
        <f>VLOOKUP(C323,'Base ejecuciones Oct-17 (2)'!A314:M808,4,0)</f>
        <v>12</v>
      </c>
      <c r="M323" s="71"/>
      <c r="N323" s="71"/>
      <c r="O323" s="71"/>
      <c r="P323" s="71"/>
      <c r="Q323" s="71"/>
      <c r="R323" s="71"/>
      <c r="S323" s="71"/>
      <c r="T323" s="71"/>
      <c r="U323" s="71"/>
      <c r="W323"/>
    </row>
    <row r="324" spans="3:23" ht="13.9" customHeight="1">
      <c r="C324" s="69">
        <v>1073508522</v>
      </c>
      <c r="D324" s="70">
        <v>51</v>
      </c>
      <c r="E324" s="70">
        <v>36841</v>
      </c>
      <c r="F324" s="70" t="s">
        <v>326</v>
      </c>
      <c r="G324" s="70" t="s">
        <v>552</v>
      </c>
      <c r="H324" s="70" t="s">
        <v>116</v>
      </c>
      <c r="I324" s="70">
        <v>9002</v>
      </c>
      <c r="J324" s="71">
        <f>VLOOKUP(C324,'Base ejecuciones Oct-17 (2)'!A314:M809,2,0)</f>
        <v>68</v>
      </c>
      <c r="K324" s="71"/>
      <c r="L324" s="71">
        <f>VLOOKUP(C324,'Base ejecuciones Oct-17 (2)'!A315:M809,4,0)</f>
        <v>7</v>
      </c>
      <c r="M324" s="71"/>
      <c r="N324" s="71"/>
      <c r="O324" s="71"/>
      <c r="P324" s="71"/>
      <c r="Q324" s="71"/>
      <c r="R324" s="71"/>
      <c r="S324" s="71"/>
      <c r="T324" s="71"/>
      <c r="U324" s="71"/>
      <c r="W324"/>
    </row>
    <row r="325" spans="3:23" ht="13.9" customHeight="1">
      <c r="C325" s="69">
        <v>1037586659</v>
      </c>
      <c r="D325" s="70">
        <v>690</v>
      </c>
      <c r="E325" s="70">
        <v>38696</v>
      </c>
      <c r="F325" s="70" t="s">
        <v>479</v>
      </c>
      <c r="G325" s="70" t="s">
        <v>553</v>
      </c>
      <c r="H325" s="70" t="s">
        <v>86</v>
      </c>
      <c r="I325" s="70">
        <v>9007</v>
      </c>
      <c r="J325" s="71">
        <f>VLOOKUP(C325,'Base ejecuciones Oct-17 (2)'!A315:M810,2,0)</f>
        <v>37</v>
      </c>
      <c r="K325" s="71"/>
      <c r="L325" s="71">
        <f>VLOOKUP(C325,'Base ejecuciones Oct-17 (2)'!A316:M810,4,0)</f>
        <v>3</v>
      </c>
      <c r="M325" s="71"/>
      <c r="N325" s="71"/>
      <c r="O325" s="71"/>
      <c r="P325" s="71"/>
      <c r="Q325" s="71"/>
      <c r="R325" s="71"/>
      <c r="S325" s="71"/>
      <c r="T325" s="71"/>
      <c r="U325" s="71"/>
      <c r="W325"/>
    </row>
    <row r="326" spans="3:23" ht="13.9" customHeight="1">
      <c r="C326" s="69">
        <v>52878312</v>
      </c>
      <c r="D326" s="70">
        <v>688</v>
      </c>
      <c r="E326" s="70">
        <v>31581</v>
      </c>
      <c r="F326" s="70" t="s">
        <v>253</v>
      </c>
      <c r="G326" s="70" t="s">
        <v>554</v>
      </c>
      <c r="H326" s="70" t="s">
        <v>86</v>
      </c>
      <c r="I326" s="70">
        <v>9004</v>
      </c>
      <c r="J326" s="71">
        <f>VLOOKUP(C326,'Base ejecuciones Oct-17 (2)'!A316:M811,2,0)</f>
        <v>86</v>
      </c>
      <c r="K326" s="71"/>
      <c r="L326" s="71">
        <f>VLOOKUP(C326,'Base ejecuciones Oct-17 (2)'!A317:M811,4,0)</f>
        <v>7</v>
      </c>
      <c r="M326" s="71"/>
      <c r="N326" s="71"/>
      <c r="O326" s="71"/>
      <c r="P326" s="71"/>
      <c r="Q326" s="71"/>
      <c r="R326" s="71"/>
      <c r="S326" s="71"/>
      <c r="T326" s="71"/>
      <c r="U326" s="71"/>
      <c r="W326"/>
    </row>
    <row r="327" spans="3:23" ht="13.9" customHeight="1">
      <c r="C327" s="69">
        <v>1116040428</v>
      </c>
      <c r="D327" s="70">
        <v>355</v>
      </c>
      <c r="E327" s="70">
        <v>37329</v>
      </c>
      <c r="F327" s="70" t="s">
        <v>555</v>
      </c>
      <c r="G327" s="70" t="s">
        <v>556</v>
      </c>
      <c r="H327" s="70" t="s">
        <v>86</v>
      </c>
      <c r="I327" s="70">
        <v>9008</v>
      </c>
      <c r="J327" s="71">
        <f>VLOOKUP(C327,'Base ejecuciones Oct-17 (2)'!A317:M812,2,0)</f>
        <v>50</v>
      </c>
      <c r="K327" s="71"/>
      <c r="L327" s="71">
        <f>VLOOKUP(C327,'Base ejecuciones Oct-17 (2)'!A318:M812,4,0)</f>
        <v>13</v>
      </c>
      <c r="M327" s="71"/>
      <c r="N327" s="71"/>
      <c r="O327" s="71"/>
      <c r="P327" s="71"/>
      <c r="Q327" s="71"/>
      <c r="R327" s="71"/>
      <c r="S327" s="71"/>
      <c r="T327" s="71"/>
      <c r="U327" s="71"/>
      <c r="W327"/>
    </row>
    <row r="328" spans="3:23" ht="13.9" customHeight="1">
      <c r="C328" s="69">
        <v>52431613</v>
      </c>
      <c r="D328" s="70">
        <v>51</v>
      </c>
      <c r="E328" s="70">
        <v>8083</v>
      </c>
      <c r="F328" s="70" t="s">
        <v>326</v>
      </c>
      <c r="G328" s="70" t="s">
        <v>557</v>
      </c>
      <c r="H328" s="70" t="s">
        <v>86</v>
      </c>
      <c r="I328" s="70">
        <v>9002</v>
      </c>
      <c r="J328" s="71">
        <f>VLOOKUP(C328,'Base ejecuciones Oct-17 (2)'!A318:M813,2,0)</f>
        <v>77</v>
      </c>
      <c r="K328" s="71"/>
      <c r="L328" s="71">
        <f>VLOOKUP(C328,'Base ejecuciones Oct-17 (2)'!A319:M813,4,0)</f>
        <v>5</v>
      </c>
      <c r="M328" s="71"/>
      <c r="N328" s="71"/>
      <c r="O328" s="71"/>
      <c r="P328" s="71"/>
      <c r="Q328" s="71"/>
      <c r="R328" s="71"/>
      <c r="S328" s="71"/>
      <c r="T328" s="71"/>
      <c r="U328" s="71"/>
      <c r="W328"/>
    </row>
    <row r="329" spans="3:23" ht="13.9" customHeight="1">
      <c r="C329" s="69">
        <v>1013625226</v>
      </c>
      <c r="D329" s="70">
        <v>37</v>
      </c>
      <c r="E329" s="70">
        <v>9209</v>
      </c>
      <c r="F329" s="70" t="s">
        <v>490</v>
      </c>
      <c r="G329" s="70" t="s">
        <v>558</v>
      </c>
      <c r="H329" s="70" t="s">
        <v>86</v>
      </c>
      <c r="I329" s="70">
        <v>9001</v>
      </c>
      <c r="J329" s="71">
        <f>VLOOKUP(C329,'Base ejecuciones Oct-17 (2)'!A319:M814,2,0)</f>
        <v>71</v>
      </c>
      <c r="K329" s="71"/>
      <c r="L329" s="71">
        <f>VLOOKUP(C329,'Base ejecuciones Oct-17 (2)'!A320:M814,4,0)</f>
        <v>12</v>
      </c>
      <c r="M329" s="71"/>
      <c r="N329" s="71"/>
      <c r="O329" s="71"/>
      <c r="P329" s="71"/>
      <c r="Q329" s="71"/>
      <c r="R329" s="71"/>
      <c r="S329" s="71"/>
      <c r="T329" s="71"/>
      <c r="U329" s="71"/>
      <c r="W329"/>
    </row>
    <row r="330" spans="3:23" ht="13.9" customHeight="1">
      <c r="C330" s="69">
        <v>1069474417</v>
      </c>
      <c r="D330" s="70">
        <v>928</v>
      </c>
      <c r="E330" s="70">
        <v>9964</v>
      </c>
      <c r="F330" s="70" t="s">
        <v>184</v>
      </c>
      <c r="G330" s="70" t="s">
        <v>559</v>
      </c>
      <c r="H330" s="70" t="s">
        <v>86</v>
      </c>
      <c r="I330" s="70">
        <v>9007</v>
      </c>
      <c r="J330" s="71">
        <f>VLOOKUP(C330,'Base ejecuciones Oct-17 (2)'!A320:M815,2,0)</f>
        <v>80</v>
      </c>
      <c r="K330" s="71"/>
      <c r="L330" s="71">
        <f>VLOOKUP(C330,'Base ejecuciones Oct-17 (2)'!A321:M815,4,0)</f>
        <v>12</v>
      </c>
      <c r="M330" s="71"/>
      <c r="N330" s="71"/>
      <c r="O330" s="71"/>
      <c r="P330" s="71"/>
      <c r="Q330" s="71"/>
      <c r="R330" s="71"/>
      <c r="S330" s="71"/>
      <c r="T330" s="71"/>
      <c r="U330" s="71"/>
      <c r="W330"/>
    </row>
    <row r="331" spans="3:23" ht="13.9" customHeight="1">
      <c r="C331" s="69">
        <v>1075212214</v>
      </c>
      <c r="D331" s="70">
        <v>691</v>
      </c>
      <c r="E331" s="70">
        <v>37818</v>
      </c>
      <c r="F331" s="70" t="s">
        <v>560</v>
      </c>
      <c r="G331" s="70" t="s">
        <v>561</v>
      </c>
      <c r="H331" s="70" t="s">
        <v>86</v>
      </c>
      <c r="I331" s="70">
        <v>9005</v>
      </c>
      <c r="J331" s="71">
        <f>VLOOKUP(C331,'Base ejecuciones Oct-17 (2)'!A321:M816,2,0)</f>
        <v>50</v>
      </c>
      <c r="K331" s="71"/>
      <c r="L331" s="71">
        <f>VLOOKUP(C331,'Base ejecuciones Oct-17 (2)'!A322:M816,4,0)</f>
        <v>13</v>
      </c>
      <c r="M331" s="71"/>
      <c r="N331" s="71"/>
      <c r="O331" s="71"/>
      <c r="P331" s="71"/>
      <c r="Q331" s="71"/>
      <c r="R331" s="71"/>
      <c r="S331" s="71"/>
      <c r="T331" s="71"/>
      <c r="U331" s="71"/>
      <c r="W331"/>
    </row>
    <row r="332" spans="3:23" ht="13.9" customHeight="1">
      <c r="C332" s="69">
        <v>1017190332</v>
      </c>
      <c r="D332" s="70">
        <v>936</v>
      </c>
      <c r="E332" s="70">
        <v>34498</v>
      </c>
      <c r="F332" s="70" t="s">
        <v>549</v>
      </c>
      <c r="G332" s="70" t="s">
        <v>562</v>
      </c>
      <c r="H332" s="70" t="s">
        <v>86</v>
      </c>
      <c r="I332" s="70">
        <v>9007</v>
      </c>
      <c r="J332" s="71">
        <f>VLOOKUP(C332,'Base ejecuciones Oct-17 (2)'!A322:M817,2,0)</f>
        <v>65</v>
      </c>
      <c r="K332" s="71"/>
      <c r="L332" s="71">
        <f>VLOOKUP(C332,'Base ejecuciones Oct-17 (2)'!A323:M817,4,0)</f>
        <v>8</v>
      </c>
      <c r="M332" s="71"/>
      <c r="N332" s="71"/>
      <c r="O332" s="71"/>
      <c r="P332" s="71"/>
      <c r="Q332" s="71"/>
      <c r="R332" s="71"/>
      <c r="S332" s="71"/>
      <c r="T332" s="71"/>
      <c r="U332" s="71"/>
      <c r="W332"/>
    </row>
    <row r="333" spans="3:23" ht="13.9" customHeight="1">
      <c r="C333" s="69">
        <v>1003994517</v>
      </c>
      <c r="D333" s="70">
        <v>691</v>
      </c>
      <c r="E333" s="70">
        <v>9393</v>
      </c>
      <c r="F333" s="70" t="s">
        <v>560</v>
      </c>
      <c r="G333" s="70" t="s">
        <v>563</v>
      </c>
      <c r="H333" s="70" t="s">
        <v>86</v>
      </c>
      <c r="I333" s="70">
        <v>9005</v>
      </c>
      <c r="J333" s="71">
        <f>VLOOKUP(C333,'Base ejecuciones Oct-17 (2)'!A323:M818,2,0)</f>
        <v>44</v>
      </c>
      <c r="K333" s="71"/>
      <c r="L333" s="71">
        <f>VLOOKUP(C333,'Base ejecuciones Oct-17 (2)'!A324:M818,4,0)</f>
        <v>13</v>
      </c>
      <c r="M333" s="71"/>
      <c r="N333" s="71"/>
      <c r="O333" s="71"/>
      <c r="P333" s="71"/>
      <c r="Q333" s="71"/>
      <c r="R333" s="71"/>
      <c r="S333" s="71"/>
      <c r="T333" s="71"/>
      <c r="U333" s="71"/>
      <c r="W333"/>
    </row>
    <row r="334" spans="3:23" ht="13.9" customHeight="1">
      <c r="C334" s="69">
        <v>67039877</v>
      </c>
      <c r="D334" s="70">
        <v>929</v>
      </c>
      <c r="E334" s="70">
        <v>9880</v>
      </c>
      <c r="F334" s="70" t="s">
        <v>564</v>
      </c>
      <c r="G334" s="70" t="s">
        <v>565</v>
      </c>
      <c r="H334" s="70" t="s">
        <v>86</v>
      </c>
      <c r="I334" s="70">
        <v>9009</v>
      </c>
      <c r="J334" s="71">
        <f>VLOOKUP(C334,'Base ejecuciones Oct-17 (2)'!A324:M819,2,0)</f>
        <v>114</v>
      </c>
      <c r="K334" s="71"/>
      <c r="L334" s="71">
        <f>VLOOKUP(C334,'Base ejecuciones Oct-17 (2)'!A325:M819,4,0)</f>
        <v>6</v>
      </c>
      <c r="M334" s="71"/>
      <c r="N334" s="71"/>
      <c r="O334" s="71"/>
      <c r="P334" s="71"/>
      <c r="Q334" s="71"/>
      <c r="R334" s="71"/>
      <c r="S334" s="71"/>
      <c r="T334" s="71"/>
      <c r="U334" s="71"/>
      <c r="W334"/>
    </row>
    <row r="335" spans="3:23" ht="13.9" customHeight="1">
      <c r="C335" s="69">
        <v>1032397127</v>
      </c>
      <c r="D335" s="70">
        <v>688</v>
      </c>
      <c r="E335" s="70">
        <v>9923</v>
      </c>
      <c r="F335" s="70" t="s">
        <v>253</v>
      </c>
      <c r="G335" s="70" t="s">
        <v>566</v>
      </c>
      <c r="H335" s="70" t="s">
        <v>86</v>
      </c>
      <c r="I335" s="70">
        <v>9004</v>
      </c>
      <c r="J335" s="71">
        <f>VLOOKUP(C335,'Base ejecuciones Oct-17 (2)'!A325:M820,2,0)</f>
        <v>69</v>
      </c>
      <c r="K335" s="71"/>
      <c r="L335" s="71">
        <f>VLOOKUP(C335,'Base ejecuciones Oct-17 (2)'!A326:M820,4,0)</f>
        <v>16</v>
      </c>
      <c r="M335" s="71"/>
      <c r="N335" s="71"/>
      <c r="O335" s="71"/>
      <c r="P335" s="71"/>
      <c r="Q335" s="71"/>
      <c r="R335" s="71"/>
      <c r="S335" s="71"/>
      <c r="T335" s="71"/>
      <c r="U335" s="71"/>
      <c r="W335"/>
    </row>
    <row r="336" spans="3:23" ht="13.9" customHeight="1">
      <c r="C336" s="69">
        <v>1031158854</v>
      </c>
      <c r="D336" s="70">
        <v>75</v>
      </c>
      <c r="E336" s="70">
        <v>38527</v>
      </c>
      <c r="F336" s="70" t="s">
        <v>271</v>
      </c>
      <c r="G336" s="70" t="s">
        <v>567</v>
      </c>
      <c r="H336" s="70" t="s">
        <v>86</v>
      </c>
      <c r="I336" s="70">
        <v>9004</v>
      </c>
      <c r="J336" s="71">
        <f>VLOOKUP(C336,'Base ejecuciones Oct-17 (2)'!A326:M821,2,0)</f>
        <v>86</v>
      </c>
      <c r="K336" s="71"/>
      <c r="L336" s="71">
        <f>VLOOKUP(C336,'Base ejecuciones Oct-17 (2)'!A327:M821,4,0)</f>
        <v>4</v>
      </c>
      <c r="M336" s="71"/>
      <c r="N336" s="71"/>
      <c r="O336" s="71"/>
      <c r="P336" s="71"/>
      <c r="Q336" s="71"/>
      <c r="R336" s="71"/>
      <c r="S336" s="71"/>
      <c r="T336" s="71"/>
      <c r="U336" s="71"/>
      <c r="W336"/>
    </row>
    <row r="337" spans="3:23" ht="13.9" customHeight="1">
      <c r="C337" s="69">
        <v>30333496</v>
      </c>
      <c r="D337" s="70">
        <v>219</v>
      </c>
      <c r="E337" s="70">
        <v>8373</v>
      </c>
      <c r="F337" s="70" t="s">
        <v>291</v>
      </c>
      <c r="G337" s="70" t="s">
        <v>568</v>
      </c>
      <c r="H337" s="70" t="s">
        <v>86</v>
      </c>
      <c r="I337" s="70">
        <v>9005</v>
      </c>
      <c r="J337" s="71">
        <f>VLOOKUP(C337,'Base ejecuciones Oct-17 (2)'!A327:M822,2,0)</f>
        <v>69</v>
      </c>
      <c r="K337" s="71"/>
      <c r="L337" s="71">
        <f>VLOOKUP(C337,'Base ejecuciones Oct-17 (2)'!A328:M822,4,0)</f>
        <v>6</v>
      </c>
      <c r="M337" s="71"/>
      <c r="N337" s="71"/>
      <c r="O337" s="71"/>
      <c r="P337" s="71"/>
      <c r="Q337" s="71"/>
      <c r="R337" s="71"/>
      <c r="S337" s="71"/>
      <c r="T337" s="71"/>
      <c r="U337" s="71"/>
      <c r="W337"/>
    </row>
    <row r="338" spans="3:23" ht="13.9" customHeight="1">
      <c r="C338" s="69">
        <v>1032459798</v>
      </c>
      <c r="D338" s="70">
        <v>69</v>
      </c>
      <c r="E338" s="70">
        <v>38359</v>
      </c>
      <c r="F338" s="70" t="s">
        <v>95</v>
      </c>
      <c r="G338" s="70" t="s">
        <v>569</v>
      </c>
      <c r="H338" s="70" t="s">
        <v>116</v>
      </c>
      <c r="I338" s="70">
        <v>9004</v>
      </c>
      <c r="J338" s="71">
        <f>VLOOKUP(C338,'Base ejecuciones Oct-17 (2)'!A328:M823,2,0)</f>
        <v>63</v>
      </c>
      <c r="K338" s="71"/>
      <c r="L338" s="71">
        <f>VLOOKUP(C338,'Base ejecuciones Oct-17 (2)'!A329:M823,4,0)</f>
        <v>6</v>
      </c>
      <c r="M338" s="71"/>
      <c r="N338" s="71"/>
      <c r="O338" s="71"/>
      <c r="P338" s="71"/>
      <c r="Q338" s="71"/>
      <c r="R338" s="71"/>
      <c r="S338" s="71"/>
      <c r="T338" s="71"/>
      <c r="U338" s="71"/>
      <c r="W338"/>
    </row>
    <row r="339" spans="3:23" ht="13.9" customHeight="1">
      <c r="C339" s="69">
        <v>1014210774</v>
      </c>
      <c r="D339" s="70">
        <v>791</v>
      </c>
      <c r="E339" s="70">
        <v>37595</v>
      </c>
      <c r="F339" s="70" t="s">
        <v>403</v>
      </c>
      <c r="G339" s="70" t="s">
        <v>570</v>
      </c>
      <c r="H339" s="70" t="s">
        <v>86</v>
      </c>
      <c r="I339" s="70">
        <v>9001</v>
      </c>
      <c r="J339" s="71">
        <f>VLOOKUP(C339,'Base ejecuciones Oct-17 (2)'!A329:M824,2,0)</f>
        <v>48</v>
      </c>
      <c r="K339" s="71"/>
      <c r="L339" s="71">
        <f>VLOOKUP(C339,'Base ejecuciones Oct-17 (2)'!A330:M824,4,0)</f>
        <v>5</v>
      </c>
      <c r="M339" s="71"/>
      <c r="N339" s="71"/>
      <c r="O339" s="71"/>
      <c r="P339" s="71"/>
      <c r="Q339" s="71"/>
      <c r="R339" s="71"/>
      <c r="S339" s="71"/>
      <c r="T339" s="71"/>
      <c r="U339" s="71"/>
      <c r="W339"/>
    </row>
    <row r="340" spans="3:23" ht="13.9" customHeight="1">
      <c r="C340" s="69">
        <v>1016035566</v>
      </c>
      <c r="D340" s="70">
        <v>443</v>
      </c>
      <c r="E340" s="70">
        <v>9795</v>
      </c>
      <c r="F340" s="70" t="s">
        <v>455</v>
      </c>
      <c r="G340" s="70" t="s">
        <v>571</v>
      </c>
      <c r="H340" s="70" t="s">
        <v>116</v>
      </c>
      <c r="I340" s="70">
        <v>9001</v>
      </c>
      <c r="J340" s="71">
        <f>VLOOKUP(C340,'Base ejecuciones Oct-17 (2)'!A330:M825,2,0)</f>
        <v>85</v>
      </c>
      <c r="K340" s="71"/>
      <c r="L340" s="71">
        <f>VLOOKUP(C340,'Base ejecuciones Oct-17 (2)'!A331:M825,4,0)</f>
        <v>2</v>
      </c>
      <c r="M340" s="71"/>
      <c r="N340" s="71"/>
      <c r="O340" s="71"/>
      <c r="P340" s="71"/>
      <c r="Q340" s="71"/>
      <c r="R340" s="71"/>
      <c r="S340" s="71"/>
      <c r="T340" s="71"/>
      <c r="U340" s="71"/>
      <c r="W340"/>
    </row>
    <row r="341" spans="3:23" ht="13.9" customHeight="1">
      <c r="C341" s="69">
        <v>44156232</v>
      </c>
      <c r="D341" s="70">
        <v>104</v>
      </c>
      <c r="E341" s="70">
        <v>33797</v>
      </c>
      <c r="F341" s="70" t="s">
        <v>281</v>
      </c>
      <c r="G341" s="70" t="s">
        <v>572</v>
      </c>
      <c r="H341" s="70" t="s">
        <v>86</v>
      </c>
      <c r="I341" s="70">
        <v>9009</v>
      </c>
      <c r="J341" s="71">
        <f>VLOOKUP(C341,'Base ejecuciones Oct-17 (2)'!A331:M826,2,0)</f>
        <v>78</v>
      </c>
      <c r="K341" s="71"/>
      <c r="L341" s="71">
        <f>VLOOKUP(C341,'Base ejecuciones Oct-17 (2)'!A332:M826,4,0)</f>
        <v>8</v>
      </c>
      <c r="M341" s="71"/>
      <c r="N341" s="71"/>
      <c r="O341" s="71"/>
      <c r="P341" s="71"/>
      <c r="Q341" s="71"/>
      <c r="R341" s="71"/>
      <c r="S341" s="71"/>
      <c r="T341" s="71"/>
      <c r="U341" s="71"/>
      <c r="W341"/>
    </row>
    <row r="342" spans="3:23" ht="13.9" customHeight="1">
      <c r="C342" s="69">
        <v>1022346094</v>
      </c>
      <c r="D342" s="70">
        <v>498</v>
      </c>
      <c r="E342" s="70">
        <v>9950</v>
      </c>
      <c r="F342" s="70" t="s">
        <v>573</v>
      </c>
      <c r="G342" s="70" t="s">
        <v>574</v>
      </c>
      <c r="H342" s="70" t="s">
        <v>86</v>
      </c>
      <c r="I342" s="70">
        <v>9001</v>
      </c>
      <c r="J342" s="71">
        <f>VLOOKUP(C342,'Base ejecuciones Oct-17 (2)'!A332:M827,2,0)</f>
        <v>127</v>
      </c>
      <c r="K342" s="71"/>
      <c r="L342" s="71">
        <f>VLOOKUP(C342,'Base ejecuciones Oct-17 (2)'!A333:M827,4,0)</f>
        <v>5</v>
      </c>
      <c r="M342" s="71"/>
      <c r="N342" s="71"/>
      <c r="O342" s="71"/>
      <c r="P342" s="71"/>
      <c r="Q342" s="71"/>
      <c r="R342" s="71"/>
      <c r="S342" s="71"/>
      <c r="T342" s="71"/>
      <c r="U342" s="71"/>
      <c r="W342"/>
    </row>
    <row r="343" spans="3:23" ht="13.9" customHeight="1">
      <c r="C343" s="69">
        <v>1015448134</v>
      </c>
      <c r="D343" s="70">
        <v>700</v>
      </c>
      <c r="E343" s="70">
        <v>36826</v>
      </c>
      <c r="F343" s="70" t="s">
        <v>410</v>
      </c>
      <c r="G343" s="70" t="s">
        <v>575</v>
      </c>
      <c r="H343" s="70" t="s">
        <v>116</v>
      </c>
      <c r="I343" s="70">
        <v>9001</v>
      </c>
      <c r="J343" s="71">
        <f>VLOOKUP(C343,'Base ejecuciones Oct-17 (2)'!A333:M828,2,0)</f>
        <v>39</v>
      </c>
      <c r="K343" s="71"/>
      <c r="L343" s="71">
        <f>VLOOKUP(C343,'Base ejecuciones Oct-17 (2)'!A334:M828,4,0)</f>
        <v>10</v>
      </c>
      <c r="M343" s="71"/>
      <c r="N343" s="71"/>
      <c r="O343" s="71"/>
      <c r="P343" s="71"/>
      <c r="Q343" s="71"/>
      <c r="R343" s="71"/>
      <c r="S343" s="71"/>
      <c r="T343" s="71"/>
      <c r="U343" s="71"/>
      <c r="W343"/>
    </row>
    <row r="344" spans="3:23" ht="13.9" customHeight="1">
      <c r="C344" s="69">
        <v>1014273167</v>
      </c>
      <c r="D344" s="70">
        <v>509</v>
      </c>
      <c r="E344" s="70">
        <v>35968</v>
      </c>
      <c r="F344" s="70" t="s">
        <v>175</v>
      </c>
      <c r="G344" s="70" t="s">
        <v>576</v>
      </c>
      <c r="H344" s="70" t="s">
        <v>86</v>
      </c>
      <c r="I344" s="70">
        <v>9001</v>
      </c>
      <c r="J344" s="71">
        <f>VLOOKUP(C344,'Base ejecuciones Oct-17 (2)'!A334:M829,2,0)</f>
        <v>28</v>
      </c>
      <c r="K344" s="71"/>
      <c r="L344" s="71">
        <f>VLOOKUP(C344,'Base ejecuciones Oct-17 (2)'!A335:M829,4,0)</f>
        <v>18</v>
      </c>
      <c r="M344" s="71"/>
      <c r="N344" s="71"/>
      <c r="O344" s="71"/>
      <c r="P344" s="71"/>
      <c r="Q344" s="71"/>
      <c r="R344" s="71"/>
      <c r="S344" s="71"/>
      <c r="T344" s="71"/>
      <c r="U344" s="71"/>
      <c r="W344"/>
    </row>
    <row r="345" spans="3:23" ht="13.9" customHeight="1">
      <c r="C345" s="69">
        <v>1152688576</v>
      </c>
      <c r="D345" s="70">
        <v>790</v>
      </c>
      <c r="E345" s="70">
        <v>9722</v>
      </c>
      <c r="F345" s="70" t="s">
        <v>434</v>
      </c>
      <c r="G345" s="70" t="s">
        <v>577</v>
      </c>
      <c r="H345" s="70" t="s">
        <v>86</v>
      </c>
      <c r="I345" s="70">
        <v>9007</v>
      </c>
      <c r="J345" s="71">
        <f>VLOOKUP(C345,'Base ejecuciones Oct-17 (2)'!A335:M830,2,0)</f>
        <v>56</v>
      </c>
      <c r="K345" s="71"/>
      <c r="L345" s="71">
        <f>VLOOKUP(C345,'Base ejecuciones Oct-17 (2)'!A336:M830,4,0)</f>
        <v>16</v>
      </c>
      <c r="M345" s="71"/>
      <c r="N345" s="71"/>
      <c r="O345" s="71"/>
      <c r="P345" s="71"/>
      <c r="Q345" s="71"/>
      <c r="R345" s="71"/>
      <c r="S345" s="71"/>
      <c r="T345" s="71"/>
      <c r="U345" s="71"/>
      <c r="W345"/>
    </row>
    <row r="346" spans="3:23" ht="13.9" customHeight="1">
      <c r="C346" s="69">
        <v>1037621761</v>
      </c>
      <c r="D346" s="70">
        <v>789</v>
      </c>
      <c r="E346" s="70">
        <v>38619</v>
      </c>
      <c r="F346" s="70" t="s">
        <v>319</v>
      </c>
      <c r="G346" s="70" t="s">
        <v>578</v>
      </c>
      <c r="H346" s="70" t="s">
        <v>86</v>
      </c>
      <c r="I346" s="70">
        <v>9007</v>
      </c>
      <c r="J346" s="71">
        <f>VLOOKUP(C346,'Base ejecuciones Oct-17 (2)'!A336:M831,2,0)</f>
        <v>33</v>
      </c>
      <c r="K346" s="71"/>
      <c r="L346" s="71">
        <f>VLOOKUP(C346,'Base ejecuciones Oct-17 (2)'!A337:M831,4,0)</f>
        <v>9</v>
      </c>
      <c r="M346" s="71"/>
      <c r="N346" s="71"/>
      <c r="O346" s="71"/>
      <c r="P346" s="71"/>
      <c r="Q346" s="71"/>
      <c r="R346" s="71"/>
      <c r="S346" s="71"/>
      <c r="T346" s="71"/>
      <c r="U346" s="71"/>
      <c r="W346"/>
    </row>
    <row r="347" spans="3:23" ht="13.9" customHeight="1">
      <c r="C347" s="69">
        <v>1024590952</v>
      </c>
      <c r="D347" s="70">
        <v>58</v>
      </c>
      <c r="E347" s="70">
        <v>37259</v>
      </c>
      <c r="F347" s="70" t="s">
        <v>341</v>
      </c>
      <c r="G347" s="70" t="s">
        <v>579</v>
      </c>
      <c r="H347" s="70" t="s">
        <v>86</v>
      </c>
      <c r="I347" s="70">
        <v>9003</v>
      </c>
      <c r="J347" s="71">
        <f>VLOOKUP(C347,'Base ejecuciones Oct-17 (2)'!A337:M832,2,0)</f>
        <v>63</v>
      </c>
      <c r="K347" s="71"/>
      <c r="L347" s="71">
        <f>VLOOKUP(C347,'Base ejecuciones Oct-17 (2)'!A338:M832,4,0)</f>
        <v>7</v>
      </c>
      <c r="M347" s="71"/>
      <c r="N347" s="71"/>
      <c r="O347" s="71"/>
      <c r="P347" s="71"/>
      <c r="Q347" s="71"/>
      <c r="R347" s="71"/>
      <c r="S347" s="71"/>
      <c r="T347" s="71"/>
      <c r="U347" s="71"/>
      <c r="W347"/>
    </row>
    <row r="348" spans="3:23" ht="13.9" customHeight="1">
      <c r="C348" s="69">
        <v>1017169122</v>
      </c>
      <c r="D348" s="70">
        <v>790</v>
      </c>
      <c r="E348" s="70">
        <v>36001</v>
      </c>
      <c r="F348" s="70" t="s">
        <v>434</v>
      </c>
      <c r="G348" s="70" t="s">
        <v>580</v>
      </c>
      <c r="H348" s="70" t="s">
        <v>86</v>
      </c>
      <c r="I348" s="70">
        <v>9007</v>
      </c>
      <c r="J348" s="71">
        <f>VLOOKUP(C348,'Base ejecuciones Oct-17 (2)'!A338:M833,2,0)</f>
        <v>57</v>
      </c>
      <c r="K348" s="71"/>
      <c r="L348" s="71">
        <f>VLOOKUP(C348,'Base ejecuciones Oct-17 (2)'!A339:M833,4,0)</f>
        <v>5</v>
      </c>
      <c r="M348" s="71"/>
      <c r="N348" s="71"/>
      <c r="O348" s="71"/>
      <c r="P348" s="71"/>
      <c r="Q348" s="71"/>
      <c r="R348" s="71"/>
      <c r="S348" s="71"/>
      <c r="T348" s="71"/>
      <c r="U348" s="71"/>
      <c r="W348"/>
    </row>
    <row r="349" spans="3:23" ht="13.9" customHeight="1">
      <c r="C349" s="69">
        <v>1019019613</v>
      </c>
      <c r="D349" s="70">
        <v>634</v>
      </c>
      <c r="E349" s="70">
        <v>9195</v>
      </c>
      <c r="F349" s="70" t="s">
        <v>224</v>
      </c>
      <c r="G349" s="70" t="s">
        <v>581</v>
      </c>
      <c r="H349" s="70" t="s">
        <v>86</v>
      </c>
      <c r="I349" s="70">
        <v>9001</v>
      </c>
      <c r="J349" s="71">
        <f>VLOOKUP(C349,'Base ejecuciones Oct-17 (2)'!A339:M834,2,0)</f>
        <v>98</v>
      </c>
      <c r="K349" s="71"/>
      <c r="L349" s="71">
        <f>VLOOKUP(C349,'Base ejecuciones Oct-17 (2)'!A340:M834,4,0)</f>
        <v>9</v>
      </c>
      <c r="M349" s="71"/>
      <c r="N349" s="71"/>
      <c r="O349" s="71"/>
      <c r="P349" s="71"/>
      <c r="Q349" s="71"/>
      <c r="R349" s="71"/>
      <c r="S349" s="71"/>
      <c r="T349" s="71"/>
      <c r="U349" s="71"/>
      <c r="W349"/>
    </row>
    <row r="350" spans="3:23" ht="13.9" customHeight="1">
      <c r="C350" s="69">
        <v>1020427303</v>
      </c>
      <c r="D350" s="70">
        <v>697</v>
      </c>
      <c r="E350" s="70">
        <v>9895</v>
      </c>
      <c r="F350" s="70" t="s">
        <v>582</v>
      </c>
      <c r="G350" s="70" t="s">
        <v>583</v>
      </c>
      <c r="H350" s="70" t="s">
        <v>86</v>
      </c>
      <c r="I350" s="70">
        <v>9007</v>
      </c>
      <c r="J350" s="71">
        <f>VLOOKUP(C350,'Base ejecuciones Oct-17 (2)'!A340:M835,2,0)</f>
        <v>40</v>
      </c>
      <c r="K350" s="71"/>
      <c r="L350" s="71">
        <f>VLOOKUP(C350,'Base ejecuciones Oct-17 (2)'!A341:M835,4,0)</f>
        <v>12</v>
      </c>
      <c r="M350" s="71"/>
      <c r="N350" s="71"/>
      <c r="O350" s="71"/>
      <c r="P350" s="71"/>
      <c r="Q350" s="71"/>
      <c r="R350" s="71"/>
      <c r="S350" s="71"/>
      <c r="T350" s="71"/>
      <c r="U350" s="71"/>
      <c r="W350"/>
    </row>
    <row r="351" spans="3:23" ht="13.9" customHeight="1">
      <c r="C351" s="69">
        <v>1018475713</v>
      </c>
      <c r="D351" s="70">
        <v>14</v>
      </c>
      <c r="E351" s="70">
        <v>9959</v>
      </c>
      <c r="F351" s="70" t="s">
        <v>305</v>
      </c>
      <c r="G351" s="70" t="s">
        <v>584</v>
      </c>
      <c r="H351" s="70" t="s">
        <v>116</v>
      </c>
      <c r="I351" s="70">
        <v>9003</v>
      </c>
      <c r="J351" s="71">
        <f>VLOOKUP(C351,'Base ejecuciones Oct-17 (2)'!A341:M836,2,0)</f>
        <v>48</v>
      </c>
      <c r="K351" s="71"/>
      <c r="L351" s="71">
        <f>VLOOKUP(C351,'Base ejecuciones Oct-17 (2)'!A342:M836,4,0)</f>
        <v>12</v>
      </c>
      <c r="M351" s="71"/>
      <c r="N351" s="71"/>
      <c r="O351" s="71"/>
      <c r="P351" s="71"/>
      <c r="Q351" s="71"/>
      <c r="R351" s="71"/>
      <c r="S351" s="71"/>
      <c r="T351" s="71"/>
      <c r="U351" s="71"/>
      <c r="W351"/>
    </row>
    <row r="352" spans="3:23" ht="13.9" customHeight="1">
      <c r="C352" s="69">
        <v>57466761</v>
      </c>
      <c r="D352" s="70">
        <v>717</v>
      </c>
      <c r="E352" s="70">
        <v>8990</v>
      </c>
      <c r="F352" s="70" t="s">
        <v>311</v>
      </c>
      <c r="G352" s="70" t="s">
        <v>585</v>
      </c>
      <c r="H352" s="70" t="s">
        <v>86</v>
      </c>
      <c r="I352" s="70">
        <v>9009</v>
      </c>
      <c r="J352" s="71">
        <f>VLOOKUP(C352,'Base ejecuciones Oct-17 (2)'!A342:M837,2,0)</f>
        <v>37</v>
      </c>
      <c r="K352" s="71"/>
      <c r="L352" s="71">
        <f>VLOOKUP(C352,'Base ejecuciones Oct-17 (2)'!A343:M837,4,0)</f>
        <v>6</v>
      </c>
      <c r="M352" s="71"/>
      <c r="N352" s="71"/>
      <c r="O352" s="71"/>
      <c r="P352" s="71"/>
      <c r="Q352" s="71"/>
      <c r="R352" s="71"/>
      <c r="S352" s="71"/>
      <c r="T352" s="71"/>
      <c r="U352" s="71"/>
      <c r="W352"/>
    </row>
    <row r="353" spans="3:23" ht="13.9" customHeight="1">
      <c r="C353" s="69">
        <v>1075227846</v>
      </c>
      <c r="D353" s="70">
        <v>847</v>
      </c>
      <c r="E353" s="70">
        <v>9012</v>
      </c>
      <c r="F353" s="70" t="s">
        <v>586</v>
      </c>
      <c r="G353" s="70" t="s">
        <v>587</v>
      </c>
      <c r="H353" s="70" t="s">
        <v>86</v>
      </c>
      <c r="I353" s="70">
        <v>9005</v>
      </c>
      <c r="J353" s="71">
        <f>VLOOKUP(C353,'Base ejecuciones Oct-17 (2)'!A343:M838,2,0)</f>
        <v>36</v>
      </c>
      <c r="K353" s="71"/>
      <c r="L353" s="71">
        <f>VLOOKUP(C353,'Base ejecuciones Oct-17 (2)'!A344:M838,4,0)</f>
        <v>11</v>
      </c>
      <c r="M353" s="71"/>
      <c r="N353" s="71"/>
      <c r="O353" s="71"/>
      <c r="P353" s="71"/>
      <c r="Q353" s="71"/>
      <c r="R353" s="71"/>
      <c r="S353" s="71"/>
      <c r="T353" s="71"/>
      <c r="U353" s="71"/>
      <c r="W353"/>
    </row>
    <row r="354" spans="3:23" ht="13.9" customHeight="1">
      <c r="C354" s="69">
        <v>64572729</v>
      </c>
      <c r="D354" s="70">
        <v>176</v>
      </c>
      <c r="E354" s="70">
        <v>9940</v>
      </c>
      <c r="F354" s="70" t="s">
        <v>298</v>
      </c>
      <c r="G354" s="70" t="s">
        <v>588</v>
      </c>
      <c r="H354" s="70" t="s">
        <v>86</v>
      </c>
      <c r="I354" s="70">
        <v>9007</v>
      </c>
      <c r="J354" s="71">
        <f>VLOOKUP(C354,'Base ejecuciones Oct-17 (2)'!A344:M839,2,0)</f>
        <v>43</v>
      </c>
      <c r="K354" s="71"/>
      <c r="L354" s="71">
        <f>VLOOKUP(C354,'Base ejecuciones Oct-17 (2)'!A345:M839,4,0)</f>
        <v>2</v>
      </c>
      <c r="M354" s="71"/>
      <c r="N354" s="71"/>
      <c r="O354" s="71"/>
      <c r="P354" s="71"/>
      <c r="Q354" s="71"/>
      <c r="R354" s="71"/>
      <c r="S354" s="71"/>
      <c r="T354" s="71"/>
      <c r="U354" s="71"/>
      <c r="W354"/>
    </row>
    <row r="355" spans="3:23" ht="13.9" customHeight="1">
      <c r="C355" s="69">
        <v>1022387032</v>
      </c>
      <c r="D355" s="70">
        <v>98</v>
      </c>
      <c r="E355" s="70">
        <v>38669</v>
      </c>
      <c r="F355" s="70" t="s">
        <v>520</v>
      </c>
      <c r="G355" s="70" t="s">
        <v>589</v>
      </c>
      <c r="H355" s="70" t="s">
        <v>116</v>
      </c>
      <c r="I355" s="70">
        <v>9002</v>
      </c>
      <c r="J355" s="71">
        <f>VLOOKUP(C355,'Base ejecuciones Oct-17 (2)'!A345:M840,2,0)</f>
        <v>65</v>
      </c>
      <c r="K355" s="71"/>
      <c r="L355" s="71">
        <f>VLOOKUP(C355,'Base ejecuciones Oct-17 (2)'!A346:M840,4,0)</f>
        <v>2</v>
      </c>
      <c r="M355" s="71"/>
      <c r="N355" s="71"/>
      <c r="O355" s="71"/>
      <c r="P355" s="71"/>
      <c r="Q355" s="71"/>
      <c r="R355" s="71"/>
      <c r="S355" s="71"/>
      <c r="T355" s="71"/>
      <c r="U355" s="71"/>
      <c r="W355"/>
    </row>
    <row r="356" spans="3:23" ht="13.9" customHeight="1">
      <c r="C356" s="69">
        <v>1017150670</v>
      </c>
      <c r="D356" s="70">
        <v>188</v>
      </c>
      <c r="E356" s="70">
        <v>37971</v>
      </c>
      <c r="F356" s="70" t="s">
        <v>273</v>
      </c>
      <c r="G356" s="70" t="s">
        <v>590</v>
      </c>
      <c r="H356" s="70" t="s">
        <v>86</v>
      </c>
      <c r="I356" s="70">
        <v>9007</v>
      </c>
      <c r="J356" s="71">
        <f>VLOOKUP(C356,'Base ejecuciones Oct-17 (2)'!A346:M841,2,0)</f>
        <v>28</v>
      </c>
      <c r="K356" s="71"/>
      <c r="L356" s="71">
        <f>VLOOKUP(C356,'Base ejecuciones Oct-17 (2)'!A347:M841,4,0)</f>
        <v>5</v>
      </c>
      <c r="M356" s="71"/>
      <c r="N356" s="71"/>
      <c r="O356" s="71"/>
      <c r="P356" s="71"/>
      <c r="Q356" s="71"/>
      <c r="R356" s="71"/>
      <c r="S356" s="71"/>
      <c r="T356" s="71"/>
      <c r="U356" s="71"/>
      <c r="W356"/>
    </row>
    <row r="357" spans="3:23" ht="13.9" customHeight="1">
      <c r="C357" s="69">
        <v>1088264450</v>
      </c>
      <c r="D357" s="70">
        <v>201</v>
      </c>
      <c r="E357" s="70">
        <v>9991</v>
      </c>
      <c r="F357" s="70" t="s">
        <v>107</v>
      </c>
      <c r="G357" s="70" t="s">
        <v>591</v>
      </c>
      <c r="H357" s="70" t="s">
        <v>86</v>
      </c>
      <c r="I357" s="70">
        <v>9005</v>
      </c>
      <c r="J357" s="71">
        <f>VLOOKUP(C357,'Base ejecuciones Oct-17 (2)'!A347:M842,2,0)</f>
        <v>95</v>
      </c>
      <c r="K357" s="71"/>
      <c r="L357" s="71">
        <f>VLOOKUP(C357,'Base ejecuciones Oct-17 (2)'!A348:M842,4,0)</f>
        <v>14</v>
      </c>
      <c r="M357" s="71"/>
      <c r="N357" s="71"/>
      <c r="O357" s="71"/>
      <c r="P357" s="71"/>
      <c r="Q357" s="71"/>
      <c r="R357" s="71"/>
      <c r="S357" s="71"/>
      <c r="T357" s="71"/>
      <c r="U357" s="71"/>
      <c r="W357"/>
    </row>
    <row r="358" spans="3:23" ht="13.9" customHeight="1">
      <c r="C358" s="69">
        <v>1075265993</v>
      </c>
      <c r="D358" s="70">
        <v>847</v>
      </c>
      <c r="E358" s="70">
        <v>37819</v>
      </c>
      <c r="F358" s="70" t="s">
        <v>586</v>
      </c>
      <c r="G358" s="70" t="s">
        <v>592</v>
      </c>
      <c r="H358" s="70" t="s">
        <v>86</v>
      </c>
      <c r="I358" s="70">
        <v>9005</v>
      </c>
      <c r="J358" s="71">
        <f>VLOOKUP(C358,'Base ejecuciones Oct-17 (2)'!A348:M843,2,0)</f>
        <v>58</v>
      </c>
      <c r="K358" s="71"/>
      <c r="L358" s="71">
        <f>VLOOKUP(C358,'Base ejecuciones Oct-17 (2)'!A349:M843,4,0)</f>
        <v>13</v>
      </c>
      <c r="M358" s="71"/>
      <c r="N358" s="71"/>
      <c r="O358" s="71"/>
      <c r="P358" s="71"/>
      <c r="Q358" s="71"/>
      <c r="R358" s="71"/>
      <c r="S358" s="71"/>
      <c r="T358" s="71"/>
      <c r="U358" s="71"/>
      <c r="W358"/>
    </row>
    <row r="359" spans="3:23" ht="13.9" customHeight="1">
      <c r="C359" s="69">
        <v>1073700380</v>
      </c>
      <c r="D359" s="70">
        <v>65</v>
      </c>
      <c r="E359" s="70">
        <v>38128</v>
      </c>
      <c r="F359" s="70" t="s">
        <v>192</v>
      </c>
      <c r="G359" s="70" t="s">
        <v>593</v>
      </c>
      <c r="H359" s="70" t="s">
        <v>86</v>
      </c>
      <c r="I359" s="70">
        <v>9004</v>
      </c>
      <c r="J359" s="71">
        <f>VLOOKUP(C359,'Base ejecuciones Oct-17 (2)'!A349:M844,2,0)</f>
        <v>54</v>
      </c>
      <c r="K359" s="71"/>
      <c r="L359" s="71">
        <f>VLOOKUP(C359,'Base ejecuciones Oct-17 (2)'!A350:M844,4,0)</f>
        <v>8</v>
      </c>
      <c r="M359" s="71"/>
      <c r="N359" s="71"/>
      <c r="O359" s="71"/>
      <c r="P359" s="71"/>
      <c r="Q359" s="71"/>
      <c r="R359" s="71"/>
      <c r="S359" s="71"/>
      <c r="T359" s="71"/>
      <c r="U359" s="71"/>
      <c r="W359"/>
    </row>
    <row r="360" spans="3:23" ht="13.9" customHeight="1">
      <c r="C360" s="69">
        <v>1072709481</v>
      </c>
      <c r="D360" s="70">
        <v>81</v>
      </c>
      <c r="E360" s="70">
        <v>9839</v>
      </c>
      <c r="F360" s="70" t="s">
        <v>429</v>
      </c>
      <c r="G360" s="70" t="s">
        <v>594</v>
      </c>
      <c r="H360" s="70" t="s">
        <v>116</v>
      </c>
      <c r="I360" s="70">
        <v>9001</v>
      </c>
      <c r="J360" s="71">
        <f>VLOOKUP(C360,'Base ejecuciones Oct-17 (2)'!A350:M845,2,0)</f>
        <v>57</v>
      </c>
      <c r="K360" s="71"/>
      <c r="L360" s="71">
        <f>VLOOKUP(C360,'Base ejecuciones Oct-17 (2)'!A351:M845,4,0)</f>
        <v>5</v>
      </c>
      <c r="M360" s="71"/>
      <c r="N360" s="71"/>
      <c r="O360" s="71"/>
      <c r="P360" s="71"/>
      <c r="Q360" s="71"/>
      <c r="R360" s="71"/>
      <c r="S360" s="71"/>
      <c r="T360" s="71"/>
      <c r="U360" s="71"/>
      <c r="W360"/>
    </row>
    <row r="361" spans="3:23" ht="13.9" customHeight="1">
      <c r="C361" s="69">
        <v>1023904082</v>
      </c>
      <c r="D361" s="70">
        <v>12</v>
      </c>
      <c r="E361" s="70">
        <v>9511</v>
      </c>
      <c r="F361" s="70" t="s">
        <v>84</v>
      </c>
      <c r="G361" s="70" t="s">
        <v>595</v>
      </c>
      <c r="H361" s="70" t="s">
        <v>86</v>
      </c>
      <c r="I361" s="70">
        <v>9002</v>
      </c>
      <c r="J361" s="71">
        <f>VLOOKUP(C361,'Base ejecuciones Oct-17 (2)'!A351:M846,2,0)</f>
        <v>51</v>
      </c>
      <c r="K361" s="71"/>
      <c r="L361" s="71">
        <f>VLOOKUP(C361,'Base ejecuciones Oct-17 (2)'!A352:M846,4,0)</f>
        <v>7</v>
      </c>
      <c r="M361" s="71"/>
      <c r="N361" s="71"/>
      <c r="O361" s="71"/>
      <c r="P361" s="71"/>
      <c r="Q361" s="71"/>
      <c r="R361" s="71"/>
      <c r="S361" s="71"/>
      <c r="T361" s="71"/>
      <c r="U361" s="71"/>
      <c r="W361"/>
    </row>
    <row r="362" spans="3:23" ht="13.9" customHeight="1">
      <c r="C362" s="69">
        <v>55058995</v>
      </c>
      <c r="D362" s="70">
        <v>90</v>
      </c>
      <c r="E362" s="70">
        <v>8185</v>
      </c>
      <c r="F362" s="70" t="s">
        <v>243</v>
      </c>
      <c r="G362" s="70" t="s">
        <v>596</v>
      </c>
      <c r="H362" s="70" t="s">
        <v>86</v>
      </c>
      <c r="I362" s="70">
        <v>9003</v>
      </c>
      <c r="J362" s="71">
        <f>VLOOKUP(C362,'Base ejecuciones Oct-17 (2)'!A352:M847,2,0)</f>
        <v>94</v>
      </c>
      <c r="K362" s="71"/>
      <c r="L362" s="71">
        <f>VLOOKUP(C362,'Base ejecuciones Oct-17 (2)'!A353:M847,4,0)</f>
        <v>9</v>
      </c>
      <c r="M362" s="71"/>
      <c r="N362" s="71"/>
      <c r="O362" s="71"/>
      <c r="P362" s="71"/>
      <c r="Q362" s="71"/>
      <c r="R362" s="71"/>
      <c r="S362" s="71"/>
      <c r="T362" s="71"/>
      <c r="U362" s="71"/>
      <c r="W362"/>
    </row>
    <row r="363" spans="3:23" ht="13.9" customHeight="1">
      <c r="C363" s="69">
        <v>1023940901</v>
      </c>
      <c r="D363" s="70">
        <v>42</v>
      </c>
      <c r="E363" s="70">
        <v>37203</v>
      </c>
      <c r="F363" s="70" t="s">
        <v>485</v>
      </c>
      <c r="G363" s="70" t="s">
        <v>597</v>
      </c>
      <c r="H363" s="70" t="s">
        <v>86</v>
      </c>
      <c r="I363" s="70">
        <v>9002</v>
      </c>
      <c r="J363" s="71">
        <f>VLOOKUP(C363,'Base ejecuciones Oct-17 (2)'!A353:M848,2,0)</f>
        <v>44</v>
      </c>
      <c r="K363" s="71"/>
      <c r="L363" s="71">
        <f>VLOOKUP(C363,'Base ejecuciones Oct-17 (2)'!A354:M848,4,0)</f>
        <v>11</v>
      </c>
      <c r="M363" s="71"/>
      <c r="N363" s="71"/>
      <c r="O363" s="71"/>
      <c r="P363" s="71"/>
      <c r="Q363" s="71"/>
      <c r="R363" s="71"/>
      <c r="S363" s="71"/>
      <c r="T363" s="71"/>
      <c r="U363" s="71"/>
      <c r="W363"/>
    </row>
    <row r="364" spans="3:23" ht="13.9" customHeight="1">
      <c r="C364" s="69">
        <v>1000468159</v>
      </c>
      <c r="D364" s="70">
        <v>20</v>
      </c>
      <c r="E364" s="70">
        <v>37258</v>
      </c>
      <c r="F364" s="70" t="s">
        <v>250</v>
      </c>
      <c r="G364" s="70" t="s">
        <v>598</v>
      </c>
      <c r="H364" s="70" t="s">
        <v>86</v>
      </c>
      <c r="I364" s="70">
        <v>9003</v>
      </c>
      <c r="J364" s="71">
        <f>VLOOKUP(C364,'Base ejecuciones Oct-17 (2)'!A354:M849,2,0)</f>
        <v>201</v>
      </c>
      <c r="K364" s="71"/>
      <c r="L364" s="71">
        <f>VLOOKUP(C364,'Base ejecuciones Oct-17 (2)'!A355:M849,4,0)</f>
        <v>11</v>
      </c>
      <c r="M364" s="71"/>
      <c r="N364" s="71"/>
      <c r="O364" s="71"/>
      <c r="P364" s="71"/>
      <c r="Q364" s="71"/>
      <c r="R364" s="71"/>
      <c r="S364" s="71"/>
      <c r="T364" s="71"/>
      <c r="U364" s="71"/>
      <c r="W364"/>
    </row>
    <row r="365" spans="3:23" ht="13.9" customHeight="1">
      <c r="C365" s="69">
        <v>1024540551</v>
      </c>
      <c r="D365" s="70">
        <v>473</v>
      </c>
      <c r="E365" s="70">
        <v>9855</v>
      </c>
      <c r="F365" s="70" t="s">
        <v>599</v>
      </c>
      <c r="G365" s="70" t="s">
        <v>600</v>
      </c>
      <c r="H365" s="70" t="s">
        <v>86</v>
      </c>
      <c r="I365" s="70">
        <v>9004</v>
      </c>
      <c r="J365" s="71">
        <f>VLOOKUP(C365,'Base ejecuciones Oct-17 (2)'!A355:M850,2,0)</f>
        <v>52</v>
      </c>
      <c r="K365" s="71"/>
      <c r="L365" s="71">
        <f>VLOOKUP(C365,'Base ejecuciones Oct-17 (2)'!A356:M850,4,0)</f>
        <v>12</v>
      </c>
      <c r="M365" s="71"/>
      <c r="N365" s="71"/>
      <c r="O365" s="71"/>
      <c r="P365" s="71"/>
      <c r="Q365" s="71"/>
      <c r="R365" s="71"/>
      <c r="S365" s="71"/>
      <c r="T365" s="71"/>
      <c r="U365" s="71"/>
      <c r="W365"/>
    </row>
    <row r="366" spans="3:23" ht="13.9" customHeight="1">
      <c r="C366" s="69">
        <v>1088256620</v>
      </c>
      <c r="D366" s="70">
        <v>885</v>
      </c>
      <c r="E366" s="70">
        <v>9203</v>
      </c>
      <c r="F366" s="70" t="s">
        <v>187</v>
      </c>
      <c r="G366" s="70" t="s">
        <v>601</v>
      </c>
      <c r="H366" s="70" t="s">
        <v>86</v>
      </c>
      <c r="I366" s="70">
        <v>9005</v>
      </c>
      <c r="J366" s="71">
        <f>VLOOKUP(C366,'Base ejecuciones Oct-17 (2)'!A356:M851,2,0)</f>
        <v>74</v>
      </c>
      <c r="K366" s="71"/>
      <c r="L366" s="71">
        <f>VLOOKUP(C366,'Base ejecuciones Oct-17 (2)'!A357:M851,4,0)</f>
        <v>9</v>
      </c>
      <c r="M366" s="71"/>
      <c r="N366" s="71"/>
      <c r="O366" s="71"/>
      <c r="P366" s="71"/>
      <c r="Q366" s="71"/>
      <c r="R366" s="71"/>
      <c r="S366" s="71"/>
      <c r="T366" s="71"/>
      <c r="U366" s="71"/>
      <c r="W366"/>
    </row>
    <row r="367" spans="3:23" ht="13.9" customHeight="1">
      <c r="C367" s="69">
        <v>1088015479</v>
      </c>
      <c r="D367" s="70">
        <v>208</v>
      </c>
      <c r="E367" s="70">
        <v>9289</v>
      </c>
      <c r="F367" s="70" t="s">
        <v>103</v>
      </c>
      <c r="G367" s="70" t="s">
        <v>602</v>
      </c>
      <c r="H367" s="70" t="s">
        <v>86</v>
      </c>
      <c r="I367" s="70">
        <v>9005</v>
      </c>
      <c r="J367" s="71">
        <f>VLOOKUP(C367,'Base ejecuciones Oct-17 (2)'!A357:M852,2,0)</f>
        <v>11</v>
      </c>
      <c r="K367" s="71"/>
      <c r="L367" s="71">
        <f>VLOOKUP(C367,'Base ejecuciones Oct-17 (2)'!A358:M852,4,0)</f>
        <v>5</v>
      </c>
      <c r="M367" s="71"/>
      <c r="N367" s="71"/>
      <c r="O367" s="71"/>
      <c r="P367" s="71"/>
      <c r="Q367" s="71"/>
      <c r="R367" s="71"/>
      <c r="S367" s="71"/>
      <c r="T367" s="71"/>
      <c r="U367" s="71"/>
      <c r="W367"/>
    </row>
    <row r="368" spans="3:23" ht="13.9" customHeight="1">
      <c r="C368" s="69">
        <v>1019018671</v>
      </c>
      <c r="D368" s="70">
        <v>811</v>
      </c>
      <c r="E368" s="70">
        <v>38555</v>
      </c>
      <c r="F368" s="70" t="s">
        <v>352</v>
      </c>
      <c r="G368" s="70" t="s">
        <v>603</v>
      </c>
      <c r="H368" s="70" t="s">
        <v>86</v>
      </c>
      <c r="I368" s="70">
        <v>9002</v>
      </c>
      <c r="J368" s="71">
        <f>VLOOKUP(C368,'Base ejecuciones Oct-17 (2)'!A358:M853,2,0)</f>
        <v>29</v>
      </c>
      <c r="K368" s="71"/>
      <c r="L368" s="71">
        <f>VLOOKUP(C368,'Base ejecuciones Oct-17 (2)'!A359:M853,4,0)</f>
        <v>7</v>
      </c>
      <c r="M368" s="71"/>
      <c r="N368" s="71"/>
      <c r="O368" s="71"/>
      <c r="P368" s="71"/>
      <c r="Q368" s="71"/>
      <c r="R368" s="71"/>
      <c r="S368" s="71"/>
      <c r="T368" s="71"/>
      <c r="U368" s="71"/>
      <c r="W368"/>
    </row>
    <row r="369" spans="3:23" ht="13.9" customHeight="1">
      <c r="C369" s="69">
        <v>1144130200</v>
      </c>
      <c r="D369" s="70">
        <v>586</v>
      </c>
      <c r="E369" s="70">
        <v>38488</v>
      </c>
      <c r="F369" s="70" t="s">
        <v>390</v>
      </c>
      <c r="G369" s="70" t="s">
        <v>604</v>
      </c>
      <c r="H369" s="70" t="s">
        <v>116</v>
      </c>
      <c r="I369" s="70">
        <v>9006</v>
      </c>
      <c r="J369" s="71">
        <f>VLOOKUP(C369,'Base ejecuciones Oct-17 (2)'!A359:M854,2,0)</f>
        <v>44</v>
      </c>
      <c r="K369" s="71"/>
      <c r="L369" s="71">
        <f>VLOOKUP(C369,'Base ejecuciones Oct-17 (2)'!A360:M854,4,0)</f>
        <v>6</v>
      </c>
      <c r="M369" s="71"/>
      <c r="N369" s="71"/>
      <c r="O369" s="71"/>
      <c r="P369" s="71"/>
      <c r="Q369" s="71"/>
      <c r="R369" s="71"/>
      <c r="S369" s="71"/>
      <c r="T369" s="71"/>
      <c r="U369" s="71"/>
      <c r="W369"/>
    </row>
    <row r="370" spans="3:23" ht="13.9" customHeight="1">
      <c r="C370" s="69">
        <v>1023004085</v>
      </c>
      <c r="D370" s="70">
        <v>57</v>
      </c>
      <c r="E370" s="70">
        <v>38235</v>
      </c>
      <c r="F370" s="70" t="s">
        <v>518</v>
      </c>
      <c r="G370" s="70" t="s">
        <v>605</v>
      </c>
      <c r="H370" s="70" t="s">
        <v>86</v>
      </c>
      <c r="I370" s="70">
        <v>9003</v>
      </c>
      <c r="J370" s="71">
        <f>VLOOKUP(C370,'Base ejecuciones Oct-17 (2)'!A360:M855,2,0)</f>
        <v>114</v>
      </c>
      <c r="K370" s="71"/>
      <c r="L370" s="71">
        <f>VLOOKUP(C370,'Base ejecuciones Oct-17 (2)'!A361:M855,4,0)</f>
        <v>5</v>
      </c>
      <c r="M370" s="71"/>
      <c r="N370" s="71"/>
      <c r="O370" s="71"/>
      <c r="P370" s="71"/>
      <c r="Q370" s="71"/>
      <c r="R370" s="71"/>
      <c r="S370" s="71"/>
      <c r="T370" s="71"/>
      <c r="U370" s="71"/>
      <c r="W370"/>
    </row>
    <row r="371" spans="3:23" ht="13.9" customHeight="1">
      <c r="C371" s="69">
        <v>16788624</v>
      </c>
      <c r="D371" s="70">
        <v>152</v>
      </c>
      <c r="E371" s="70">
        <v>8518</v>
      </c>
      <c r="F371" s="70" t="s">
        <v>606</v>
      </c>
      <c r="G371" s="70" t="s">
        <v>607</v>
      </c>
      <c r="H371" s="70" t="s">
        <v>86</v>
      </c>
      <c r="I371" s="70">
        <v>9006</v>
      </c>
      <c r="J371" s="71">
        <f>VLOOKUP(C371,'Base ejecuciones Oct-17 (2)'!A361:M856,2,0)</f>
        <v>212</v>
      </c>
      <c r="K371" s="71"/>
      <c r="L371" s="71">
        <f>VLOOKUP(C371,'Base ejecuciones Oct-17 (2)'!A362:M856,4,0)</f>
        <v>12</v>
      </c>
      <c r="M371" s="71"/>
      <c r="N371" s="71"/>
      <c r="O371" s="71"/>
      <c r="P371" s="71"/>
      <c r="Q371" s="71"/>
      <c r="R371" s="71"/>
      <c r="S371" s="71"/>
      <c r="T371" s="71"/>
      <c r="U371" s="71"/>
      <c r="W371"/>
    </row>
    <row r="372" spans="3:23" ht="13.9" customHeight="1">
      <c r="C372" s="69">
        <v>1070948005</v>
      </c>
      <c r="D372" s="70">
        <v>90</v>
      </c>
      <c r="E372" s="70">
        <v>32061</v>
      </c>
      <c r="F372" s="70" t="s">
        <v>243</v>
      </c>
      <c r="G372" s="70" t="s">
        <v>608</v>
      </c>
      <c r="H372" s="70" t="s">
        <v>86</v>
      </c>
      <c r="I372" s="70">
        <v>9003</v>
      </c>
      <c r="J372" s="71">
        <f>VLOOKUP(C372,'Base ejecuciones Oct-17 (2)'!A362:M857,2,0)</f>
        <v>36</v>
      </c>
      <c r="K372" s="71"/>
      <c r="L372" s="71">
        <f>VLOOKUP(C372,'Base ejecuciones Oct-17 (2)'!A363:M857,4,0)</f>
        <v>1</v>
      </c>
      <c r="M372" s="71"/>
      <c r="N372" s="71"/>
      <c r="O372" s="71"/>
      <c r="P372" s="71"/>
      <c r="Q372" s="71"/>
      <c r="R372" s="71"/>
      <c r="S372" s="71"/>
      <c r="T372" s="71"/>
      <c r="U372" s="71"/>
      <c r="W372"/>
    </row>
    <row r="373" spans="3:23" ht="13.9" customHeight="1">
      <c r="C373" s="69">
        <v>1090465063</v>
      </c>
      <c r="D373" s="70">
        <v>634</v>
      </c>
      <c r="E373" s="70">
        <v>36170</v>
      </c>
      <c r="F373" s="70" t="s">
        <v>224</v>
      </c>
      <c r="G373" s="70" t="s">
        <v>609</v>
      </c>
      <c r="H373" s="70" t="s">
        <v>116</v>
      </c>
      <c r="I373" s="70">
        <v>9001</v>
      </c>
      <c r="J373" s="71">
        <f>VLOOKUP(C373,'Base ejecuciones Oct-17 (2)'!A363:M858,2,0)</f>
        <v>0</v>
      </c>
      <c r="K373" s="71"/>
      <c r="L373" s="71">
        <f>VLOOKUP(C373,'Base ejecuciones Oct-17 (2)'!A364:M858,4,0)</f>
        <v>0</v>
      </c>
      <c r="M373" s="71"/>
      <c r="N373" s="71"/>
      <c r="O373" s="71"/>
      <c r="P373" s="71"/>
      <c r="Q373" s="71"/>
      <c r="R373" s="71"/>
      <c r="S373" s="71"/>
      <c r="T373" s="71"/>
      <c r="U373" s="71"/>
      <c r="W373"/>
    </row>
    <row r="374" spans="3:23" ht="13.9" customHeight="1">
      <c r="C374" s="69">
        <v>35536840</v>
      </c>
      <c r="D374" s="70">
        <v>723</v>
      </c>
      <c r="E374" s="70">
        <v>9574</v>
      </c>
      <c r="F374" s="70" t="s">
        <v>610</v>
      </c>
      <c r="G374" s="70" t="s">
        <v>611</v>
      </c>
      <c r="H374" s="70" t="s">
        <v>86</v>
      </c>
      <c r="I374" s="70">
        <v>9003</v>
      </c>
      <c r="J374" s="71">
        <f>VLOOKUP(C374,'Base ejecuciones Oct-17 (2)'!A364:M859,2,0)</f>
        <v>129</v>
      </c>
      <c r="K374" s="71"/>
      <c r="L374" s="71">
        <f>VLOOKUP(C374,'Base ejecuciones Oct-17 (2)'!A365:M859,4,0)</f>
        <v>5</v>
      </c>
      <c r="M374" s="71"/>
      <c r="N374" s="71"/>
      <c r="O374" s="71"/>
      <c r="P374" s="71"/>
      <c r="Q374" s="71"/>
      <c r="R374" s="71"/>
      <c r="S374" s="71"/>
      <c r="T374" s="71"/>
      <c r="U374" s="71"/>
      <c r="W374"/>
    </row>
    <row r="375" spans="3:23" ht="13.9" customHeight="1">
      <c r="C375" s="69">
        <v>16934969</v>
      </c>
      <c r="D375" s="70">
        <v>150</v>
      </c>
      <c r="E375" s="70">
        <v>9208</v>
      </c>
      <c r="F375" s="70" t="s">
        <v>612</v>
      </c>
      <c r="G375" s="70" t="s">
        <v>613</v>
      </c>
      <c r="H375" s="70" t="s">
        <v>86</v>
      </c>
      <c r="I375" s="70">
        <v>9006</v>
      </c>
      <c r="J375" s="71">
        <f>VLOOKUP(C375,'Base ejecuciones Oct-17 (2)'!A365:M860,2,0)</f>
        <v>70</v>
      </c>
      <c r="K375" s="71"/>
      <c r="L375" s="71">
        <f>VLOOKUP(C375,'Base ejecuciones Oct-17 (2)'!A366:M860,4,0)</f>
        <v>14</v>
      </c>
      <c r="M375" s="71"/>
      <c r="N375" s="71"/>
      <c r="O375" s="71"/>
      <c r="P375" s="71"/>
      <c r="Q375" s="71"/>
      <c r="R375" s="71"/>
      <c r="S375" s="71"/>
      <c r="T375" s="71"/>
      <c r="U375" s="71"/>
      <c r="W375"/>
    </row>
    <row r="376" spans="3:23" ht="13.9" customHeight="1">
      <c r="C376" s="69">
        <v>1014224368</v>
      </c>
      <c r="D376" s="70">
        <v>58</v>
      </c>
      <c r="E376" s="70">
        <v>9410</v>
      </c>
      <c r="F376" s="70" t="s">
        <v>341</v>
      </c>
      <c r="G376" s="70" t="s">
        <v>614</v>
      </c>
      <c r="H376" s="70" t="s">
        <v>86</v>
      </c>
      <c r="I376" s="70">
        <v>9003</v>
      </c>
      <c r="J376" s="71">
        <f>VLOOKUP(C376,'Base ejecuciones Oct-17 (2)'!A366:M861,2,0)</f>
        <v>39</v>
      </c>
      <c r="K376" s="71"/>
      <c r="L376" s="71">
        <f>VLOOKUP(C376,'Base ejecuciones Oct-17 (2)'!A367:M861,4,0)</f>
        <v>6</v>
      </c>
      <c r="M376" s="71"/>
      <c r="N376" s="71"/>
      <c r="O376" s="71"/>
      <c r="P376" s="71"/>
      <c r="Q376" s="71"/>
      <c r="R376" s="71"/>
      <c r="S376" s="71"/>
      <c r="T376" s="71"/>
      <c r="U376" s="71"/>
      <c r="W376"/>
    </row>
    <row r="377" spans="3:23" ht="13.9" customHeight="1">
      <c r="C377" s="69">
        <v>8104319</v>
      </c>
      <c r="D377" s="70">
        <v>190</v>
      </c>
      <c r="E377" s="70">
        <v>9526</v>
      </c>
      <c r="F377" s="70" t="s">
        <v>502</v>
      </c>
      <c r="G377" s="70" t="s">
        <v>615</v>
      </c>
      <c r="H377" s="70" t="s">
        <v>86</v>
      </c>
      <c r="I377" s="70">
        <v>9007</v>
      </c>
      <c r="J377" s="71">
        <f>VLOOKUP(C377,'Base ejecuciones Oct-17 (2)'!A367:M862,2,0)</f>
        <v>13</v>
      </c>
      <c r="K377" s="71"/>
      <c r="L377" s="71">
        <f>VLOOKUP(C377,'Base ejecuciones Oct-17 (2)'!A368:M862,4,0)</f>
        <v>18</v>
      </c>
      <c r="M377" s="71"/>
      <c r="N377" s="71"/>
      <c r="O377" s="71"/>
      <c r="P377" s="71"/>
      <c r="Q377" s="71"/>
      <c r="R377" s="71"/>
      <c r="S377" s="71"/>
      <c r="T377" s="71"/>
      <c r="U377" s="71"/>
      <c r="W377"/>
    </row>
    <row r="378" spans="3:23" ht="13.9" customHeight="1">
      <c r="C378" s="69">
        <v>43702565</v>
      </c>
      <c r="D378" s="70">
        <v>182</v>
      </c>
      <c r="E378" s="70">
        <v>36816</v>
      </c>
      <c r="F378" s="70" t="s">
        <v>470</v>
      </c>
      <c r="G378" s="70" t="s">
        <v>616</v>
      </c>
      <c r="H378" s="70" t="s">
        <v>86</v>
      </c>
      <c r="I378" s="70">
        <v>9007</v>
      </c>
      <c r="J378" s="71">
        <f>VLOOKUP(C378,'Base ejecuciones Oct-17 (2)'!A368:M863,2,0)</f>
        <v>34</v>
      </c>
      <c r="K378" s="71"/>
      <c r="L378" s="71">
        <f>VLOOKUP(C378,'Base ejecuciones Oct-17 (2)'!A369:M863,4,0)</f>
        <v>7</v>
      </c>
      <c r="M378" s="71"/>
      <c r="N378" s="71"/>
      <c r="O378" s="71"/>
      <c r="P378" s="71"/>
      <c r="Q378" s="71"/>
      <c r="R378" s="71"/>
      <c r="S378" s="71"/>
      <c r="T378" s="71"/>
      <c r="U378" s="71"/>
      <c r="W378"/>
    </row>
    <row r="379" spans="3:23" ht="13.9" customHeight="1">
      <c r="C379" s="69">
        <v>1118806722</v>
      </c>
      <c r="D379" s="70">
        <v>115</v>
      </c>
      <c r="E379" s="70">
        <v>37102</v>
      </c>
      <c r="F379" s="70" t="s">
        <v>146</v>
      </c>
      <c r="G379" s="70" t="s">
        <v>617</v>
      </c>
      <c r="H379" s="70" t="s">
        <v>86</v>
      </c>
      <c r="I379" s="70">
        <v>9009</v>
      </c>
      <c r="J379" s="71">
        <f>VLOOKUP(C379,'Base ejecuciones Oct-17 (2)'!A369:M864,2,0)</f>
        <v>71</v>
      </c>
      <c r="K379" s="71"/>
      <c r="L379" s="71">
        <f>VLOOKUP(C379,'Base ejecuciones Oct-17 (2)'!A370:M864,4,0)</f>
        <v>8</v>
      </c>
      <c r="M379" s="71"/>
      <c r="N379" s="71"/>
      <c r="O379" s="71"/>
      <c r="P379" s="71"/>
      <c r="Q379" s="71"/>
      <c r="R379" s="71"/>
      <c r="S379" s="71"/>
      <c r="T379" s="71"/>
      <c r="U379" s="71"/>
      <c r="W379"/>
    </row>
    <row r="380" spans="3:23" ht="13.9" customHeight="1">
      <c r="C380" s="69">
        <v>1088034671</v>
      </c>
      <c r="D380" s="70">
        <v>696</v>
      </c>
      <c r="E380" s="70">
        <v>38750</v>
      </c>
      <c r="F380" s="70" t="s">
        <v>618</v>
      </c>
      <c r="G380" s="70" t="s">
        <v>619</v>
      </c>
      <c r="H380" s="70" t="s">
        <v>116</v>
      </c>
      <c r="I380" s="70">
        <v>9005</v>
      </c>
      <c r="J380" s="71">
        <f>VLOOKUP(C380,'Base ejecuciones Oct-17 (2)'!A370:M865,2,0)</f>
        <v>79</v>
      </c>
      <c r="K380" s="71"/>
      <c r="L380" s="71">
        <f>VLOOKUP(C380,'Base ejecuciones Oct-17 (2)'!A371:M865,4,0)</f>
        <v>9</v>
      </c>
      <c r="M380" s="71"/>
      <c r="N380" s="71"/>
      <c r="O380" s="71"/>
      <c r="P380" s="71"/>
      <c r="Q380" s="71"/>
      <c r="R380" s="71"/>
      <c r="S380" s="71"/>
      <c r="T380" s="71"/>
      <c r="U380" s="71"/>
      <c r="W380"/>
    </row>
    <row r="381" spans="3:23" ht="13.9" customHeight="1">
      <c r="C381" s="69">
        <v>35353550</v>
      </c>
      <c r="D381" s="70">
        <v>90</v>
      </c>
      <c r="E381" s="70">
        <v>8739</v>
      </c>
      <c r="F381" s="70" t="s">
        <v>243</v>
      </c>
      <c r="G381" s="70" t="s">
        <v>620</v>
      </c>
      <c r="H381" s="70" t="s">
        <v>86</v>
      </c>
      <c r="I381" s="70">
        <v>9003</v>
      </c>
      <c r="J381" s="71">
        <f>VLOOKUP(C381,'Base ejecuciones Oct-17 (2)'!A371:M866,2,0)</f>
        <v>59</v>
      </c>
      <c r="K381" s="71"/>
      <c r="L381" s="71">
        <f>VLOOKUP(C381,'Base ejecuciones Oct-17 (2)'!A372:M866,4,0)</f>
        <v>2</v>
      </c>
      <c r="M381" s="71"/>
      <c r="N381" s="71"/>
      <c r="O381" s="71"/>
      <c r="P381" s="71"/>
      <c r="Q381" s="71"/>
      <c r="R381" s="71"/>
      <c r="S381" s="71"/>
      <c r="T381" s="71"/>
      <c r="U381" s="71"/>
      <c r="W381"/>
    </row>
    <row r="382" spans="3:23" ht="13.9" customHeight="1">
      <c r="C382" s="69">
        <v>1140842460</v>
      </c>
      <c r="D382" s="70">
        <v>107</v>
      </c>
      <c r="E382" s="70">
        <v>38756</v>
      </c>
      <c r="F382" s="70" t="s">
        <v>621</v>
      </c>
      <c r="G382" s="70" t="s">
        <v>622</v>
      </c>
      <c r="H382" s="70" t="s">
        <v>86</v>
      </c>
      <c r="I382" s="70">
        <v>9009</v>
      </c>
      <c r="J382" s="71">
        <f>VLOOKUP(C382,'Base ejecuciones Oct-17 (2)'!A372:M867,2,0)</f>
        <v>74</v>
      </c>
      <c r="K382" s="71"/>
      <c r="L382" s="71">
        <f>VLOOKUP(C382,'Base ejecuciones Oct-17 (2)'!A373:M867,4,0)</f>
        <v>11</v>
      </c>
      <c r="M382" s="71"/>
      <c r="N382" s="71"/>
      <c r="O382" s="71"/>
      <c r="P382" s="71"/>
      <c r="Q382" s="71"/>
      <c r="R382" s="71"/>
      <c r="S382" s="71"/>
      <c r="T382" s="71"/>
      <c r="U382" s="71"/>
      <c r="W382"/>
    </row>
    <row r="383" spans="3:23" ht="13.9" customHeight="1">
      <c r="C383" s="69">
        <v>1030623687</v>
      </c>
      <c r="D383" s="70">
        <v>77</v>
      </c>
      <c r="E383" s="70">
        <v>38222</v>
      </c>
      <c r="F383" s="70" t="s">
        <v>623</v>
      </c>
      <c r="G383" s="70" t="s">
        <v>624</v>
      </c>
      <c r="H383" s="70" t="s">
        <v>86</v>
      </c>
      <c r="I383" s="70">
        <v>9004</v>
      </c>
      <c r="J383" s="71">
        <f>VLOOKUP(C383,'Base ejecuciones Oct-17 (2)'!A373:M868,2,0)</f>
        <v>55</v>
      </c>
      <c r="K383" s="71"/>
      <c r="L383" s="71">
        <f>VLOOKUP(C383,'Base ejecuciones Oct-17 (2)'!A374:M868,4,0)</f>
        <v>6</v>
      </c>
      <c r="M383" s="71"/>
      <c r="N383" s="71"/>
      <c r="O383" s="71"/>
      <c r="P383" s="71"/>
      <c r="Q383" s="71"/>
      <c r="R383" s="71"/>
      <c r="S383" s="71"/>
      <c r="T383" s="71"/>
      <c r="U383" s="71"/>
      <c r="W383"/>
    </row>
    <row r="384" spans="3:23" ht="13.9" customHeight="1">
      <c r="C384" s="69">
        <v>1018489502</v>
      </c>
      <c r="D384" s="70">
        <v>3</v>
      </c>
      <c r="E384" s="70">
        <v>36557</v>
      </c>
      <c r="F384" s="70" t="s">
        <v>163</v>
      </c>
      <c r="G384" s="70" t="s">
        <v>625</v>
      </c>
      <c r="H384" s="70" t="s">
        <v>86</v>
      </c>
      <c r="I384" s="70">
        <v>9003</v>
      </c>
      <c r="J384" s="71">
        <f>VLOOKUP(C384,'Base ejecuciones Oct-17 (2)'!A374:M869,2,0)</f>
        <v>0</v>
      </c>
      <c r="K384" s="71"/>
      <c r="L384" s="71">
        <f>VLOOKUP(C384,'Base ejecuciones Oct-17 (2)'!A375:M869,4,0)</f>
        <v>0</v>
      </c>
      <c r="M384" s="71"/>
      <c r="N384" s="71"/>
      <c r="O384" s="71"/>
      <c r="P384" s="71"/>
      <c r="Q384" s="71"/>
      <c r="R384" s="71"/>
      <c r="S384" s="71"/>
      <c r="T384" s="71"/>
      <c r="U384" s="71"/>
      <c r="W384"/>
    </row>
    <row r="385" spans="3:23" ht="13.9" customHeight="1">
      <c r="C385" s="69">
        <v>1128281637</v>
      </c>
      <c r="D385" s="70">
        <v>175</v>
      </c>
      <c r="E385" s="70">
        <v>38697</v>
      </c>
      <c r="F385" s="70" t="s">
        <v>230</v>
      </c>
      <c r="G385" s="70" t="s">
        <v>626</v>
      </c>
      <c r="H385" s="70" t="s">
        <v>86</v>
      </c>
      <c r="I385" s="70">
        <v>9007</v>
      </c>
      <c r="J385" s="71">
        <f>VLOOKUP(C385,'Base ejecuciones Oct-17 (2)'!A375:M870,2,0)</f>
        <v>18</v>
      </c>
      <c r="K385" s="71"/>
      <c r="L385" s="71">
        <f>VLOOKUP(C385,'Base ejecuciones Oct-17 (2)'!A376:M870,4,0)</f>
        <v>5</v>
      </c>
      <c r="M385" s="71"/>
      <c r="N385" s="71"/>
      <c r="O385" s="71"/>
      <c r="P385" s="71"/>
      <c r="Q385" s="71"/>
      <c r="R385" s="71"/>
      <c r="S385" s="71"/>
      <c r="T385" s="71"/>
      <c r="U385" s="71"/>
      <c r="W385"/>
    </row>
    <row r="386" spans="3:23" ht="13.9" customHeight="1">
      <c r="C386" s="69">
        <v>1140831173</v>
      </c>
      <c r="D386" s="70">
        <v>935</v>
      </c>
      <c r="E386" s="70">
        <v>38165</v>
      </c>
      <c r="F386" s="70" t="s">
        <v>307</v>
      </c>
      <c r="G386" s="70" t="s">
        <v>627</v>
      </c>
      <c r="H386" s="70" t="s">
        <v>86</v>
      </c>
      <c r="I386" s="70">
        <v>9009</v>
      </c>
      <c r="J386" s="71">
        <f>VLOOKUP(C386,'Base ejecuciones Oct-17 (2)'!A376:M871,2,0)</f>
        <v>52</v>
      </c>
      <c r="K386" s="71"/>
      <c r="L386" s="71">
        <f>VLOOKUP(C386,'Base ejecuciones Oct-17 (2)'!A377:M871,4,0)</f>
        <v>7</v>
      </c>
      <c r="M386" s="71"/>
      <c r="N386" s="71"/>
      <c r="O386" s="71"/>
      <c r="P386" s="71"/>
      <c r="Q386" s="71"/>
      <c r="R386" s="71"/>
      <c r="S386" s="71"/>
      <c r="T386" s="71"/>
      <c r="U386" s="71"/>
      <c r="W386"/>
    </row>
    <row r="387" spans="3:23" ht="13.9" customHeight="1">
      <c r="C387" s="69">
        <v>33366411</v>
      </c>
      <c r="D387" s="70">
        <v>84</v>
      </c>
      <c r="E387" s="70">
        <v>9140</v>
      </c>
      <c r="F387" s="70" t="s">
        <v>432</v>
      </c>
      <c r="G387" s="70" t="s">
        <v>628</v>
      </c>
      <c r="H387" s="70" t="s">
        <v>86</v>
      </c>
      <c r="I387" s="70">
        <v>9008</v>
      </c>
      <c r="J387" s="71">
        <f>VLOOKUP(C387,'Base ejecuciones Oct-17 (2)'!A377:M872,2,0)</f>
        <v>94</v>
      </c>
      <c r="K387" s="71"/>
      <c r="L387" s="71">
        <f>VLOOKUP(C387,'Base ejecuciones Oct-17 (2)'!A378:M872,4,0)</f>
        <v>12</v>
      </c>
      <c r="M387" s="71"/>
      <c r="N387" s="71"/>
      <c r="O387" s="71"/>
      <c r="P387" s="71"/>
      <c r="Q387" s="71"/>
      <c r="R387" s="71"/>
      <c r="S387" s="71"/>
      <c r="T387" s="71"/>
      <c r="U387" s="71"/>
      <c r="W387"/>
    </row>
    <row r="388" spans="3:23" ht="13.9" customHeight="1">
      <c r="C388" s="69">
        <v>36307362</v>
      </c>
      <c r="D388" s="70">
        <v>216</v>
      </c>
      <c r="E388" s="70">
        <v>8198</v>
      </c>
      <c r="F388" s="70" t="s">
        <v>268</v>
      </c>
      <c r="G388" s="70" t="s">
        <v>629</v>
      </c>
      <c r="H388" s="70" t="s">
        <v>86</v>
      </c>
      <c r="I388" s="70">
        <v>9005</v>
      </c>
      <c r="J388" s="71">
        <f>VLOOKUP(C388,'Base ejecuciones Oct-17 (2)'!A378:M873,2,0)</f>
        <v>72</v>
      </c>
      <c r="K388" s="71"/>
      <c r="L388" s="71">
        <f>VLOOKUP(C388,'Base ejecuciones Oct-17 (2)'!A379:M873,4,0)</f>
        <v>12</v>
      </c>
      <c r="M388" s="71"/>
      <c r="N388" s="71"/>
      <c r="O388" s="71"/>
      <c r="P388" s="71"/>
      <c r="Q388" s="71"/>
      <c r="R388" s="71"/>
      <c r="S388" s="71"/>
      <c r="T388" s="71"/>
      <c r="U388" s="71"/>
      <c r="W388"/>
    </row>
    <row r="389" spans="3:23" ht="13.9" customHeight="1">
      <c r="C389" s="69">
        <v>1024535146</v>
      </c>
      <c r="D389" s="70">
        <v>18</v>
      </c>
      <c r="E389" s="70">
        <v>38236</v>
      </c>
      <c r="F389" s="70" t="s">
        <v>386</v>
      </c>
      <c r="G389" s="70" t="s">
        <v>630</v>
      </c>
      <c r="H389" s="70" t="s">
        <v>86</v>
      </c>
      <c r="I389" s="70">
        <v>9003</v>
      </c>
      <c r="J389" s="71">
        <f>VLOOKUP(C389,'Base ejecuciones Oct-17 (2)'!A379:M874,2,0)</f>
        <v>73</v>
      </c>
      <c r="K389" s="71"/>
      <c r="L389" s="71">
        <f>VLOOKUP(C389,'Base ejecuciones Oct-17 (2)'!A380:M874,4,0)</f>
        <v>8</v>
      </c>
      <c r="M389" s="71"/>
      <c r="N389" s="71"/>
      <c r="O389" s="71"/>
      <c r="P389" s="71"/>
      <c r="Q389" s="71"/>
      <c r="R389" s="71"/>
      <c r="S389" s="71"/>
      <c r="T389" s="71"/>
      <c r="U389" s="71"/>
      <c r="W389"/>
    </row>
    <row r="390" spans="3:23" ht="13.9" customHeight="1">
      <c r="C390" s="69">
        <v>32781444</v>
      </c>
      <c r="D390" s="70">
        <v>627</v>
      </c>
      <c r="E390" s="70">
        <v>8302</v>
      </c>
      <c r="F390" s="70" t="s">
        <v>437</v>
      </c>
      <c r="G390" s="70" t="s">
        <v>631</v>
      </c>
      <c r="H390" s="70" t="s">
        <v>86</v>
      </c>
      <c r="I390" s="70">
        <v>9009</v>
      </c>
      <c r="J390" s="71">
        <f>VLOOKUP(C390,'Base ejecuciones Oct-17 (2)'!A380:M875,2,0)</f>
        <v>33</v>
      </c>
      <c r="K390" s="71"/>
      <c r="L390" s="71">
        <f>VLOOKUP(C390,'Base ejecuciones Oct-17 (2)'!A381:M875,4,0)</f>
        <v>9</v>
      </c>
      <c r="M390" s="71"/>
      <c r="N390" s="71"/>
      <c r="O390" s="71"/>
      <c r="P390" s="71"/>
      <c r="Q390" s="71"/>
      <c r="R390" s="71"/>
      <c r="S390" s="71"/>
      <c r="T390" s="71"/>
      <c r="U390" s="71"/>
      <c r="W390"/>
    </row>
    <row r="391" spans="3:23" ht="13.9" customHeight="1">
      <c r="C391" s="69">
        <v>23756021</v>
      </c>
      <c r="D391" s="70">
        <v>355</v>
      </c>
      <c r="E391" s="70">
        <v>37321</v>
      </c>
      <c r="F391" s="70" t="s">
        <v>555</v>
      </c>
      <c r="G391" s="70" t="s">
        <v>632</v>
      </c>
      <c r="H391" s="70" t="s">
        <v>86</v>
      </c>
      <c r="I391" s="70">
        <v>9008</v>
      </c>
      <c r="J391" s="71">
        <f>VLOOKUP(C391,'Base ejecuciones Oct-17 (2)'!A381:M876,2,0)</f>
        <v>44</v>
      </c>
      <c r="K391" s="71"/>
      <c r="L391" s="71">
        <f>VLOOKUP(C391,'Base ejecuciones Oct-17 (2)'!A382:M876,4,0)</f>
        <v>9</v>
      </c>
      <c r="M391" s="71"/>
      <c r="N391" s="71"/>
      <c r="O391" s="71"/>
      <c r="P391" s="71"/>
      <c r="Q391" s="71"/>
      <c r="R391" s="71"/>
      <c r="S391" s="71"/>
      <c r="T391" s="71"/>
      <c r="U391" s="71"/>
      <c r="W391"/>
    </row>
    <row r="392" spans="3:23" ht="13.9" customHeight="1">
      <c r="C392" s="69">
        <v>37616090</v>
      </c>
      <c r="D392" s="70">
        <v>130</v>
      </c>
      <c r="E392" s="70">
        <v>9701</v>
      </c>
      <c r="F392" s="70" t="s">
        <v>177</v>
      </c>
      <c r="G392" s="70" t="s">
        <v>633</v>
      </c>
      <c r="H392" s="70" t="s">
        <v>86</v>
      </c>
      <c r="I392" s="70">
        <v>9008</v>
      </c>
      <c r="J392" s="71">
        <f>VLOOKUP(C392,'Base ejecuciones Oct-17 (2)'!A382:M877,2,0)</f>
        <v>82</v>
      </c>
      <c r="K392" s="71"/>
      <c r="L392" s="71">
        <f>VLOOKUP(C392,'Base ejecuciones Oct-17 (2)'!A383:M877,4,0)</f>
        <v>8</v>
      </c>
      <c r="M392" s="71"/>
      <c r="N392" s="71"/>
      <c r="O392" s="71"/>
      <c r="P392" s="71"/>
      <c r="Q392" s="71"/>
      <c r="R392" s="71"/>
      <c r="S392" s="71"/>
      <c r="T392" s="71"/>
      <c r="U392" s="71"/>
      <c r="W392"/>
    </row>
    <row r="393" spans="3:23" ht="13.9" customHeight="1">
      <c r="C393" s="69">
        <v>74374120</v>
      </c>
      <c r="D393" s="70">
        <v>688</v>
      </c>
      <c r="E393" s="70">
        <v>9108</v>
      </c>
      <c r="F393" s="70" t="s">
        <v>253</v>
      </c>
      <c r="G393" s="70" t="s">
        <v>634</v>
      </c>
      <c r="H393" s="70" t="s">
        <v>86</v>
      </c>
      <c r="I393" s="70">
        <v>9004</v>
      </c>
      <c r="J393" s="71">
        <f>VLOOKUP(C393,'Base ejecuciones Oct-17 (2)'!A383:M878,2,0)</f>
        <v>0</v>
      </c>
      <c r="K393" s="71"/>
      <c r="L393" s="71">
        <f>VLOOKUP(C393,'Base ejecuciones Oct-17 (2)'!A384:M878,4,0)</f>
        <v>0</v>
      </c>
      <c r="M393" s="71"/>
      <c r="N393" s="71"/>
      <c r="O393" s="71"/>
      <c r="P393" s="71"/>
      <c r="Q393" s="71"/>
      <c r="R393" s="71"/>
      <c r="S393" s="71"/>
      <c r="T393" s="71"/>
      <c r="U393" s="71"/>
      <c r="W393"/>
    </row>
    <row r="394" spans="3:23" ht="13.9" customHeight="1">
      <c r="C394" s="69">
        <v>1094879531</v>
      </c>
      <c r="D394" s="70">
        <v>228</v>
      </c>
      <c r="E394" s="70">
        <v>20045</v>
      </c>
      <c r="F394" s="70" t="s">
        <v>89</v>
      </c>
      <c r="G394" s="70" t="s">
        <v>635</v>
      </c>
      <c r="H394" s="70" t="s">
        <v>86</v>
      </c>
      <c r="I394" s="70">
        <v>9005</v>
      </c>
      <c r="J394" s="71">
        <f>VLOOKUP(C394,'Base ejecuciones Oct-17 (2)'!A384:M879,2,0)</f>
        <v>74</v>
      </c>
      <c r="K394" s="71"/>
      <c r="L394" s="71">
        <f>VLOOKUP(C394,'Base ejecuciones Oct-17 (2)'!A385:M879,4,0)</f>
        <v>20</v>
      </c>
      <c r="M394" s="71"/>
      <c r="N394" s="71"/>
      <c r="O394" s="71"/>
      <c r="P394" s="71"/>
      <c r="Q394" s="71"/>
      <c r="R394" s="71"/>
      <c r="S394" s="71"/>
      <c r="T394" s="71"/>
      <c r="U394" s="71"/>
      <c r="W394"/>
    </row>
    <row r="395" spans="3:23" ht="13.9" customHeight="1">
      <c r="C395" s="69">
        <v>1010207855</v>
      </c>
      <c r="D395" s="70">
        <v>14</v>
      </c>
      <c r="E395" s="70">
        <v>9869</v>
      </c>
      <c r="F395" s="70" t="s">
        <v>305</v>
      </c>
      <c r="G395" s="70" t="s">
        <v>636</v>
      </c>
      <c r="H395" s="70" t="s">
        <v>86</v>
      </c>
      <c r="I395" s="70">
        <v>9003</v>
      </c>
      <c r="J395" s="71">
        <f>VLOOKUP(C395,'Base ejecuciones Oct-17 (2)'!A385:M880,2,0)</f>
        <v>67</v>
      </c>
      <c r="K395" s="71"/>
      <c r="L395" s="71">
        <f>VLOOKUP(C395,'Base ejecuciones Oct-17 (2)'!A386:M880,4,0)</f>
        <v>12</v>
      </c>
      <c r="M395" s="71"/>
      <c r="N395" s="71"/>
      <c r="O395" s="71"/>
      <c r="P395" s="71"/>
      <c r="Q395" s="71"/>
      <c r="R395" s="71"/>
      <c r="S395" s="71"/>
      <c r="T395" s="71"/>
      <c r="U395" s="71"/>
      <c r="W395"/>
    </row>
    <row r="396" spans="3:23" ht="13.9" customHeight="1">
      <c r="C396" s="69">
        <v>1040732617</v>
      </c>
      <c r="D396" s="70">
        <v>190</v>
      </c>
      <c r="E396" s="70">
        <v>38529</v>
      </c>
      <c r="F396" s="70" t="s">
        <v>502</v>
      </c>
      <c r="G396" s="70" t="s">
        <v>637</v>
      </c>
      <c r="H396" s="70" t="s">
        <v>86</v>
      </c>
      <c r="I396" s="70">
        <v>9007</v>
      </c>
      <c r="J396" s="71">
        <f>VLOOKUP(C396,'Base ejecuciones Oct-17 (2)'!A386:M881,2,0)</f>
        <v>31</v>
      </c>
      <c r="K396" s="71"/>
      <c r="L396" s="71">
        <f>VLOOKUP(C396,'Base ejecuciones Oct-17 (2)'!A387:M881,4,0)</f>
        <v>5</v>
      </c>
      <c r="M396" s="71"/>
      <c r="N396" s="71"/>
      <c r="O396" s="71"/>
      <c r="P396" s="71"/>
      <c r="Q396" s="71"/>
      <c r="R396" s="71"/>
      <c r="S396" s="71"/>
      <c r="T396" s="71"/>
      <c r="U396" s="71"/>
      <c r="W396"/>
    </row>
    <row r="397" spans="3:23" ht="13.9" customHeight="1">
      <c r="C397" s="69">
        <v>1020754373</v>
      </c>
      <c r="D397" s="70">
        <v>18</v>
      </c>
      <c r="E397" s="70">
        <v>37131</v>
      </c>
      <c r="F397" s="70" t="s">
        <v>386</v>
      </c>
      <c r="G397" s="70" t="s">
        <v>638</v>
      </c>
      <c r="H397" s="70" t="s">
        <v>86</v>
      </c>
      <c r="I397" s="70">
        <v>9003</v>
      </c>
      <c r="J397" s="71">
        <f>VLOOKUP(C397,'Base ejecuciones Oct-17 (2)'!A387:M882,2,0)</f>
        <v>77</v>
      </c>
      <c r="K397" s="71"/>
      <c r="L397" s="71">
        <f>VLOOKUP(C397,'Base ejecuciones Oct-17 (2)'!A388:M882,4,0)</f>
        <v>10</v>
      </c>
      <c r="M397" s="71"/>
      <c r="N397" s="71"/>
      <c r="O397" s="71"/>
      <c r="P397" s="71"/>
      <c r="Q397" s="71"/>
      <c r="R397" s="71"/>
      <c r="S397" s="71"/>
      <c r="T397" s="71"/>
      <c r="U397" s="71"/>
      <c r="W397"/>
    </row>
    <row r="398" spans="3:23" ht="13.9" customHeight="1">
      <c r="C398" s="69">
        <v>1143839146</v>
      </c>
      <c r="D398" s="70">
        <v>149</v>
      </c>
      <c r="E398" s="70">
        <v>9931</v>
      </c>
      <c r="F398" s="70" t="s">
        <v>639</v>
      </c>
      <c r="G398" s="70" t="s">
        <v>640</v>
      </c>
      <c r="H398" s="70" t="s">
        <v>86</v>
      </c>
      <c r="I398" s="70">
        <v>9006</v>
      </c>
      <c r="J398" s="71">
        <f>VLOOKUP(C398,'Base ejecuciones Oct-17 (2)'!A388:M883,2,0)</f>
        <v>73</v>
      </c>
      <c r="K398" s="71"/>
      <c r="L398" s="71">
        <f>VLOOKUP(C398,'Base ejecuciones Oct-17 (2)'!A389:M883,4,0)</f>
        <v>13</v>
      </c>
      <c r="M398" s="71"/>
      <c r="N398" s="71"/>
      <c r="O398" s="71"/>
      <c r="P398" s="71"/>
      <c r="Q398" s="71"/>
      <c r="R398" s="71"/>
      <c r="S398" s="71"/>
      <c r="T398" s="71"/>
      <c r="U398" s="71"/>
      <c r="W398"/>
    </row>
    <row r="399" spans="3:23" ht="13.9" customHeight="1">
      <c r="C399" s="69">
        <v>1023925105</v>
      </c>
      <c r="D399" s="70">
        <v>46</v>
      </c>
      <c r="E399" s="70">
        <v>37823</v>
      </c>
      <c r="F399" s="70" t="s">
        <v>492</v>
      </c>
      <c r="G399" s="70" t="s">
        <v>641</v>
      </c>
      <c r="H399" s="70" t="s">
        <v>86</v>
      </c>
      <c r="I399" s="70">
        <v>9003</v>
      </c>
      <c r="J399" s="71">
        <f>VLOOKUP(C399,'Base ejecuciones Oct-17 (2)'!A389:M884,2,0)</f>
        <v>65</v>
      </c>
      <c r="K399" s="71"/>
      <c r="L399" s="71">
        <f>VLOOKUP(C399,'Base ejecuciones Oct-17 (2)'!A390:M884,4,0)</f>
        <v>12</v>
      </c>
      <c r="M399" s="71"/>
      <c r="N399" s="71"/>
      <c r="O399" s="71"/>
      <c r="P399" s="71"/>
      <c r="Q399" s="71"/>
      <c r="R399" s="71"/>
      <c r="S399" s="71"/>
      <c r="T399" s="71"/>
      <c r="U399" s="71"/>
      <c r="W399"/>
    </row>
    <row r="400" spans="3:23" ht="13.9" customHeight="1">
      <c r="C400" s="69">
        <v>94501508</v>
      </c>
      <c r="D400" s="70">
        <v>587</v>
      </c>
      <c r="E400" s="70">
        <v>8173</v>
      </c>
      <c r="F400" s="70" t="s">
        <v>642</v>
      </c>
      <c r="G400" s="70" t="s">
        <v>643</v>
      </c>
      <c r="H400" s="70" t="s">
        <v>86</v>
      </c>
      <c r="I400" s="70">
        <v>9006</v>
      </c>
      <c r="J400" s="71">
        <f>VLOOKUP(C400,'Base ejecuciones Oct-17 (2)'!A390:M885,2,0)</f>
        <v>70</v>
      </c>
      <c r="K400" s="71"/>
      <c r="L400" s="71">
        <f>VLOOKUP(C400,'Base ejecuciones Oct-17 (2)'!A391:M885,4,0)</f>
        <v>13</v>
      </c>
      <c r="M400" s="71"/>
      <c r="N400" s="71"/>
      <c r="O400" s="71"/>
      <c r="P400" s="71"/>
      <c r="Q400" s="71"/>
      <c r="R400" s="71"/>
      <c r="S400" s="71"/>
      <c r="T400" s="71"/>
      <c r="U400" s="71"/>
      <c r="W400"/>
    </row>
    <row r="401" spans="3:23" ht="13.9" customHeight="1">
      <c r="C401" s="69">
        <v>27604620</v>
      </c>
      <c r="D401" s="70">
        <v>33</v>
      </c>
      <c r="E401" s="70">
        <v>30994</v>
      </c>
      <c r="F401" s="70" t="s">
        <v>135</v>
      </c>
      <c r="G401" s="70" t="s">
        <v>644</v>
      </c>
      <c r="H401" s="70" t="s">
        <v>86</v>
      </c>
      <c r="I401" s="70">
        <v>9001</v>
      </c>
      <c r="J401" s="71">
        <f>VLOOKUP(C401,'Base ejecuciones Oct-17 (2)'!A391:M886,2,0)</f>
        <v>83</v>
      </c>
      <c r="K401" s="71"/>
      <c r="L401" s="71">
        <f>VLOOKUP(C401,'Base ejecuciones Oct-17 (2)'!A392:M886,4,0)</f>
        <v>16</v>
      </c>
      <c r="M401" s="71"/>
      <c r="N401" s="71"/>
      <c r="O401" s="71"/>
      <c r="P401" s="71"/>
      <c r="Q401" s="71"/>
      <c r="R401" s="71"/>
      <c r="S401" s="71"/>
      <c r="T401" s="71"/>
      <c r="U401" s="71"/>
      <c r="W401"/>
    </row>
    <row r="402" spans="3:23" ht="13.9" customHeight="1">
      <c r="C402" s="69">
        <v>1020775280</v>
      </c>
      <c r="D402" s="70">
        <v>634</v>
      </c>
      <c r="E402" s="70">
        <v>9796</v>
      </c>
      <c r="F402" s="70" t="s">
        <v>224</v>
      </c>
      <c r="G402" s="70" t="s">
        <v>645</v>
      </c>
      <c r="H402" s="70" t="s">
        <v>116</v>
      </c>
      <c r="I402" s="70">
        <v>9001</v>
      </c>
      <c r="J402" s="71">
        <f>VLOOKUP(C402,'Base ejecuciones Oct-17 (2)'!A392:M887,2,0)</f>
        <v>62</v>
      </c>
      <c r="K402" s="71"/>
      <c r="L402" s="71">
        <f>VLOOKUP(C402,'Base ejecuciones Oct-17 (2)'!A393:M887,4,0)</f>
        <v>5</v>
      </c>
      <c r="M402" s="71"/>
      <c r="N402" s="71"/>
      <c r="O402" s="71"/>
      <c r="P402" s="71"/>
      <c r="Q402" s="71"/>
      <c r="R402" s="71"/>
      <c r="S402" s="71"/>
      <c r="T402" s="71"/>
      <c r="U402" s="71"/>
      <c r="W402"/>
    </row>
    <row r="403" spans="3:23" ht="13.9" customHeight="1">
      <c r="C403" s="69">
        <v>1030526284</v>
      </c>
      <c r="D403" s="70">
        <v>467</v>
      </c>
      <c r="E403" s="70">
        <v>9744</v>
      </c>
      <c r="F403" s="70" t="s">
        <v>473</v>
      </c>
      <c r="G403" s="70" t="s">
        <v>646</v>
      </c>
      <c r="H403" s="70" t="s">
        <v>86</v>
      </c>
      <c r="I403" s="70">
        <v>9004</v>
      </c>
      <c r="J403" s="71">
        <f>VLOOKUP(C403,'Base ejecuciones Oct-17 (2)'!A393:M888,2,0)</f>
        <v>50</v>
      </c>
      <c r="K403" s="71"/>
      <c r="L403" s="71">
        <f>VLOOKUP(C403,'Base ejecuciones Oct-17 (2)'!A394:M888,4,0)</f>
        <v>12</v>
      </c>
      <c r="M403" s="71"/>
      <c r="N403" s="71"/>
      <c r="O403" s="71"/>
      <c r="P403" s="71"/>
      <c r="Q403" s="71"/>
      <c r="R403" s="71"/>
      <c r="S403" s="71"/>
      <c r="T403" s="71"/>
      <c r="U403" s="71"/>
      <c r="W403"/>
    </row>
    <row r="404" spans="3:23" ht="13.9" customHeight="1">
      <c r="C404" s="69">
        <v>1057590731</v>
      </c>
      <c r="D404" s="70">
        <v>695</v>
      </c>
      <c r="E404" s="70">
        <v>31375</v>
      </c>
      <c r="F404" s="70" t="s">
        <v>359</v>
      </c>
      <c r="G404" s="70" t="s">
        <v>647</v>
      </c>
      <c r="H404" s="70" t="s">
        <v>86</v>
      </c>
      <c r="I404" s="70">
        <v>9008</v>
      </c>
      <c r="J404" s="71">
        <f>VLOOKUP(C404,'Base ejecuciones Oct-17 (2)'!A394:M889,2,0)</f>
        <v>41</v>
      </c>
      <c r="K404" s="71"/>
      <c r="L404" s="71">
        <f>VLOOKUP(C404,'Base ejecuciones Oct-17 (2)'!A395:M889,4,0)</f>
        <v>7</v>
      </c>
      <c r="M404" s="71"/>
      <c r="N404" s="71"/>
      <c r="O404" s="71"/>
      <c r="P404" s="71"/>
      <c r="Q404" s="71"/>
      <c r="R404" s="71"/>
      <c r="S404" s="71"/>
      <c r="T404" s="71"/>
      <c r="U404" s="71"/>
      <c r="W404"/>
    </row>
    <row r="405" spans="3:23" ht="13.9" customHeight="1">
      <c r="C405" s="69">
        <v>1030541637</v>
      </c>
      <c r="D405" s="70">
        <v>25</v>
      </c>
      <c r="E405" s="70">
        <v>9535</v>
      </c>
      <c r="F405" s="70" t="s">
        <v>207</v>
      </c>
      <c r="G405" s="70" t="s">
        <v>648</v>
      </c>
      <c r="H405" s="70" t="s">
        <v>86</v>
      </c>
      <c r="I405" s="70">
        <v>9001</v>
      </c>
      <c r="J405" s="71">
        <f>VLOOKUP(C405,'Base ejecuciones Oct-17 (2)'!A395:M890,2,0)</f>
        <v>98</v>
      </c>
      <c r="K405" s="71"/>
      <c r="L405" s="71">
        <f>VLOOKUP(C405,'Base ejecuciones Oct-17 (2)'!A396:M890,4,0)</f>
        <v>9</v>
      </c>
      <c r="M405" s="71"/>
      <c r="N405" s="71"/>
      <c r="O405" s="71"/>
      <c r="P405" s="71"/>
      <c r="Q405" s="71"/>
      <c r="R405" s="71"/>
      <c r="S405" s="71"/>
      <c r="T405" s="71"/>
      <c r="U405" s="71"/>
      <c r="W405"/>
    </row>
    <row r="406" spans="3:23" ht="13.9" customHeight="1">
      <c r="C406" s="69">
        <v>55304355</v>
      </c>
      <c r="D406" s="70">
        <v>101</v>
      </c>
      <c r="E406" s="70">
        <v>9271</v>
      </c>
      <c r="F406" s="70" t="s">
        <v>180</v>
      </c>
      <c r="G406" s="70" t="s">
        <v>649</v>
      </c>
      <c r="H406" s="70" t="s">
        <v>86</v>
      </c>
      <c r="I406" s="70">
        <v>9009</v>
      </c>
      <c r="J406" s="71">
        <f>VLOOKUP(C406,'Base ejecuciones Oct-17 (2)'!A396:M891,2,0)</f>
        <v>51</v>
      </c>
      <c r="K406" s="71"/>
      <c r="L406" s="71">
        <f>VLOOKUP(C406,'Base ejecuciones Oct-17 (2)'!A397:M891,4,0)</f>
        <v>5</v>
      </c>
      <c r="M406" s="71"/>
      <c r="N406" s="71"/>
      <c r="O406" s="71"/>
      <c r="P406" s="71"/>
      <c r="Q406" s="71"/>
      <c r="R406" s="71"/>
      <c r="S406" s="71"/>
      <c r="T406" s="71"/>
      <c r="U406" s="71"/>
      <c r="W406"/>
    </row>
    <row r="407" spans="3:23" ht="13.9" customHeight="1">
      <c r="C407" s="69">
        <v>52282393</v>
      </c>
      <c r="D407" s="70">
        <v>73</v>
      </c>
      <c r="E407" s="70">
        <v>20772</v>
      </c>
      <c r="F407" s="70" t="s">
        <v>87</v>
      </c>
      <c r="G407" s="70" t="s">
        <v>650</v>
      </c>
      <c r="H407" s="70" t="s">
        <v>86</v>
      </c>
      <c r="I407" s="70">
        <v>9004</v>
      </c>
      <c r="J407" s="71">
        <f>VLOOKUP(C407,'Base ejecuciones Oct-17 (2)'!A397:M892,2,0)</f>
        <v>66</v>
      </c>
      <c r="K407" s="71"/>
      <c r="L407" s="71">
        <f>VLOOKUP(C407,'Base ejecuciones Oct-17 (2)'!A398:M892,4,0)</f>
        <v>11</v>
      </c>
      <c r="M407" s="71"/>
      <c r="N407" s="71"/>
      <c r="O407" s="71"/>
      <c r="P407" s="71"/>
      <c r="Q407" s="71"/>
      <c r="R407" s="71"/>
      <c r="S407" s="71"/>
      <c r="T407" s="71"/>
      <c r="U407" s="71"/>
      <c r="W407"/>
    </row>
    <row r="408" spans="3:23" ht="13.9" customHeight="1">
      <c r="C408" s="69">
        <v>1130681417</v>
      </c>
      <c r="D408" s="70">
        <v>145</v>
      </c>
      <c r="E408" s="70">
        <v>9978</v>
      </c>
      <c r="F408" s="70" t="s">
        <v>651</v>
      </c>
      <c r="G408" s="70" t="s">
        <v>652</v>
      </c>
      <c r="H408" s="70" t="s">
        <v>86</v>
      </c>
      <c r="I408" s="70">
        <v>9006</v>
      </c>
      <c r="J408" s="71">
        <f>VLOOKUP(C408,'Base ejecuciones Oct-17 (2)'!A398:M893,2,0)</f>
        <v>132</v>
      </c>
      <c r="K408" s="71"/>
      <c r="L408" s="71">
        <f>VLOOKUP(C408,'Base ejecuciones Oct-17 (2)'!A399:M893,4,0)</f>
        <v>21</v>
      </c>
      <c r="M408" s="71"/>
      <c r="N408" s="71"/>
      <c r="O408" s="71"/>
      <c r="P408" s="71"/>
      <c r="Q408" s="71"/>
      <c r="R408" s="71"/>
      <c r="S408" s="71"/>
      <c r="T408" s="71"/>
      <c r="U408" s="71"/>
      <c r="W408"/>
    </row>
    <row r="409" spans="3:23" ht="13.9" customHeight="1">
      <c r="C409" s="69">
        <v>1072426927</v>
      </c>
      <c r="D409" s="70">
        <v>66</v>
      </c>
      <c r="E409" s="70">
        <v>38209</v>
      </c>
      <c r="F409" s="70" t="s">
        <v>348</v>
      </c>
      <c r="G409" s="70" t="s">
        <v>653</v>
      </c>
      <c r="H409" s="70" t="s">
        <v>86</v>
      </c>
      <c r="I409" s="70">
        <v>9004</v>
      </c>
      <c r="J409" s="71">
        <f>VLOOKUP(C409,'Base ejecuciones Oct-17 (2)'!A399:M894,2,0)</f>
        <v>71</v>
      </c>
      <c r="K409" s="71"/>
      <c r="L409" s="71">
        <f>VLOOKUP(C409,'Base ejecuciones Oct-17 (2)'!A400:M894,4,0)</f>
        <v>9</v>
      </c>
      <c r="M409" s="71"/>
      <c r="N409" s="71"/>
      <c r="O409" s="71"/>
      <c r="P409" s="71"/>
      <c r="Q409" s="71"/>
      <c r="R409" s="71"/>
      <c r="S409" s="71"/>
      <c r="T409" s="71"/>
      <c r="U409" s="71"/>
      <c r="W409"/>
    </row>
    <row r="410" spans="3:23" ht="13.9" customHeight="1">
      <c r="C410" s="69">
        <v>1005148916</v>
      </c>
      <c r="D410" s="70">
        <v>130</v>
      </c>
      <c r="E410" s="70">
        <v>36606</v>
      </c>
      <c r="F410" s="70" t="s">
        <v>177</v>
      </c>
      <c r="G410" s="70" t="s">
        <v>654</v>
      </c>
      <c r="H410" s="70" t="s">
        <v>86</v>
      </c>
      <c r="I410" s="70">
        <v>9008</v>
      </c>
      <c r="J410" s="71">
        <f>VLOOKUP(C410,'Base ejecuciones Oct-17 (2)'!A400:M895,2,0)</f>
        <v>72</v>
      </c>
      <c r="K410" s="71"/>
      <c r="L410" s="71">
        <f>VLOOKUP(C410,'Base ejecuciones Oct-17 (2)'!A401:M895,4,0)</f>
        <v>12</v>
      </c>
      <c r="M410" s="71"/>
      <c r="N410" s="71"/>
      <c r="O410" s="71"/>
      <c r="P410" s="71"/>
      <c r="Q410" s="71"/>
      <c r="R410" s="71"/>
      <c r="S410" s="71"/>
      <c r="T410" s="71"/>
      <c r="U410" s="71"/>
      <c r="W410"/>
    </row>
    <row r="411" spans="3:23" ht="13.9" customHeight="1">
      <c r="C411" s="69">
        <v>1130617338</v>
      </c>
      <c r="D411" s="70">
        <v>158</v>
      </c>
      <c r="E411" s="70">
        <v>9240</v>
      </c>
      <c r="F411" s="70" t="s">
        <v>314</v>
      </c>
      <c r="G411" s="70" t="s">
        <v>655</v>
      </c>
      <c r="H411" s="70" t="s">
        <v>86</v>
      </c>
      <c r="I411" s="70">
        <v>9006</v>
      </c>
      <c r="J411" s="71">
        <f>VLOOKUP(C411,'Base ejecuciones Oct-17 (2)'!A401:M896,2,0)</f>
        <v>11</v>
      </c>
      <c r="K411" s="71"/>
      <c r="L411" s="71">
        <f>VLOOKUP(C411,'Base ejecuciones Oct-17 (2)'!A402:M896,4,0)</f>
        <v>4</v>
      </c>
      <c r="M411" s="71"/>
      <c r="N411" s="71"/>
      <c r="O411" s="71"/>
      <c r="P411" s="71"/>
      <c r="Q411" s="71"/>
      <c r="R411" s="71"/>
      <c r="S411" s="71"/>
      <c r="T411" s="71"/>
      <c r="U411" s="71"/>
      <c r="W411"/>
    </row>
    <row r="412" spans="3:23" ht="13.9" customHeight="1">
      <c r="C412" s="69">
        <v>1144052933</v>
      </c>
      <c r="D412" s="70">
        <v>471</v>
      </c>
      <c r="E412" s="70">
        <v>36918</v>
      </c>
      <c r="F412" s="70" t="s">
        <v>656</v>
      </c>
      <c r="G412" s="70" t="s">
        <v>657</v>
      </c>
      <c r="H412" s="70" t="s">
        <v>86</v>
      </c>
      <c r="I412" s="70">
        <v>9006</v>
      </c>
      <c r="J412" s="71">
        <f>VLOOKUP(C412,'Base ejecuciones Oct-17 (2)'!A402:M897,2,0)</f>
        <v>70</v>
      </c>
      <c r="K412" s="71"/>
      <c r="L412" s="71">
        <f>VLOOKUP(C412,'Base ejecuciones Oct-17 (2)'!A403:M897,4,0)</f>
        <v>12</v>
      </c>
      <c r="M412" s="71"/>
      <c r="N412" s="71"/>
      <c r="O412" s="71"/>
      <c r="P412" s="71"/>
      <c r="Q412" s="71"/>
      <c r="R412" s="71"/>
      <c r="S412" s="71"/>
      <c r="T412" s="71"/>
      <c r="U412" s="71"/>
      <c r="W412"/>
    </row>
    <row r="413" spans="3:23" ht="13.9" customHeight="1">
      <c r="C413" s="69">
        <v>1151948923</v>
      </c>
      <c r="D413" s="70">
        <v>149</v>
      </c>
      <c r="E413" s="70">
        <v>37824</v>
      </c>
      <c r="F413" s="70" t="s">
        <v>639</v>
      </c>
      <c r="G413" s="70" t="s">
        <v>658</v>
      </c>
      <c r="H413" s="70" t="s">
        <v>86</v>
      </c>
      <c r="I413" s="70">
        <v>9006</v>
      </c>
      <c r="J413" s="71">
        <f>VLOOKUP(C413,'Base ejecuciones Oct-17 (2)'!A403:M898,2,0)</f>
        <v>19</v>
      </c>
      <c r="K413" s="71"/>
      <c r="L413" s="71">
        <f>VLOOKUP(C413,'Base ejecuciones Oct-17 (2)'!A404:M898,4,0)</f>
        <v>5</v>
      </c>
      <c r="M413" s="71"/>
      <c r="N413" s="71"/>
      <c r="O413" s="71"/>
      <c r="P413" s="71"/>
      <c r="Q413" s="71"/>
      <c r="R413" s="71"/>
      <c r="S413" s="71"/>
      <c r="T413" s="71"/>
      <c r="U413" s="71"/>
      <c r="W413"/>
    </row>
    <row r="414" spans="3:23" ht="13.9" customHeight="1">
      <c r="C414" s="69">
        <v>1018459690</v>
      </c>
      <c r="D414" s="70">
        <v>24</v>
      </c>
      <c r="E414" s="70">
        <v>9984</v>
      </c>
      <c r="F414" s="70" t="s">
        <v>345</v>
      </c>
      <c r="G414" s="70" t="s">
        <v>659</v>
      </c>
      <c r="H414" s="70" t="s">
        <v>86</v>
      </c>
      <c r="I414" s="70">
        <v>9001</v>
      </c>
      <c r="J414" s="71">
        <f>VLOOKUP(C414,'Base ejecuciones Oct-17 (2)'!A404:M899,2,0)</f>
        <v>64</v>
      </c>
      <c r="K414" s="71"/>
      <c r="L414" s="71">
        <f>VLOOKUP(C414,'Base ejecuciones Oct-17 (2)'!A405:M899,4,0)</f>
        <v>13</v>
      </c>
      <c r="M414" s="71"/>
      <c r="N414" s="71"/>
      <c r="O414" s="71"/>
      <c r="P414" s="71"/>
      <c r="Q414" s="71"/>
      <c r="R414" s="71"/>
      <c r="S414" s="71"/>
      <c r="T414" s="71"/>
      <c r="U414" s="71"/>
      <c r="W414"/>
    </row>
    <row r="415" spans="3:23" ht="13.9" customHeight="1">
      <c r="C415" s="69">
        <v>1088292705</v>
      </c>
      <c r="D415" s="70">
        <v>696</v>
      </c>
      <c r="E415" s="70">
        <v>33664</v>
      </c>
      <c r="F415" s="70" t="s">
        <v>618</v>
      </c>
      <c r="G415" s="70" t="s">
        <v>660</v>
      </c>
      <c r="H415" s="70" t="s">
        <v>86</v>
      </c>
      <c r="I415" s="70">
        <v>9005</v>
      </c>
      <c r="J415" s="71">
        <f>VLOOKUP(C415,'Base ejecuciones Oct-17 (2)'!A405:M900,2,0)</f>
        <v>70</v>
      </c>
      <c r="K415" s="71"/>
      <c r="L415" s="71">
        <f>VLOOKUP(C415,'Base ejecuciones Oct-17 (2)'!A406:M900,4,0)</f>
        <v>13</v>
      </c>
      <c r="M415" s="71"/>
      <c r="N415" s="71"/>
      <c r="O415" s="71"/>
      <c r="P415" s="71"/>
      <c r="Q415" s="71"/>
      <c r="R415" s="71"/>
      <c r="S415" s="71"/>
      <c r="T415" s="71"/>
      <c r="U415" s="71"/>
      <c r="W415"/>
    </row>
    <row r="416" spans="3:23" ht="13.9" customHeight="1">
      <c r="C416" s="69">
        <v>1143856254</v>
      </c>
      <c r="D416" s="70">
        <v>595</v>
      </c>
      <c r="E416" s="70">
        <v>9163</v>
      </c>
      <c r="F416" s="70" t="s">
        <v>262</v>
      </c>
      <c r="G416" s="70" t="s">
        <v>661</v>
      </c>
      <c r="H416" s="70" t="s">
        <v>86</v>
      </c>
      <c r="I416" s="70">
        <v>9006</v>
      </c>
      <c r="J416" s="71">
        <f>VLOOKUP(C416,'Base ejecuciones Oct-17 (2)'!A406:M901,2,0)</f>
        <v>72</v>
      </c>
      <c r="K416" s="71"/>
      <c r="L416" s="71">
        <f>VLOOKUP(C416,'Base ejecuciones Oct-17 (2)'!A407:M901,4,0)</f>
        <v>4</v>
      </c>
      <c r="M416" s="71"/>
      <c r="N416" s="71"/>
      <c r="O416" s="71"/>
      <c r="P416" s="71"/>
      <c r="Q416" s="71"/>
      <c r="R416" s="71"/>
      <c r="S416" s="71"/>
      <c r="T416" s="71"/>
      <c r="U416" s="71"/>
      <c r="W416"/>
    </row>
    <row r="417" spans="3:23" ht="13.9" customHeight="1">
      <c r="C417" s="69">
        <v>80135347</v>
      </c>
      <c r="D417" s="70">
        <v>587</v>
      </c>
      <c r="E417" s="70">
        <v>36915</v>
      </c>
      <c r="F417" s="70" t="s">
        <v>642</v>
      </c>
      <c r="G417" s="70" t="s">
        <v>662</v>
      </c>
      <c r="H417" s="70" t="s">
        <v>86</v>
      </c>
      <c r="I417" s="70">
        <v>9006</v>
      </c>
      <c r="J417" s="71">
        <f>VLOOKUP(C417,'Base ejecuciones Oct-17 (2)'!A407:M902,2,0)</f>
        <v>54</v>
      </c>
      <c r="K417" s="71"/>
      <c r="L417" s="71">
        <f>VLOOKUP(C417,'Base ejecuciones Oct-17 (2)'!A408:M902,4,0)</f>
        <v>12</v>
      </c>
      <c r="M417" s="71"/>
      <c r="N417" s="71"/>
      <c r="O417" s="71"/>
      <c r="P417" s="71"/>
      <c r="Q417" s="71"/>
      <c r="R417" s="71"/>
      <c r="S417" s="71"/>
      <c r="T417" s="71"/>
      <c r="U417" s="71"/>
      <c r="W417"/>
    </row>
    <row r="418" spans="3:23" ht="13.9" customHeight="1">
      <c r="C418" s="69">
        <v>1064989604</v>
      </c>
      <c r="D418" s="70">
        <v>928</v>
      </c>
      <c r="E418" s="70">
        <v>38554</v>
      </c>
      <c r="F418" s="70" t="s">
        <v>184</v>
      </c>
      <c r="G418" s="70" t="s">
        <v>663</v>
      </c>
      <c r="H418" s="70" t="s">
        <v>86</v>
      </c>
      <c r="I418" s="70">
        <v>9007</v>
      </c>
      <c r="J418" s="71">
        <f>VLOOKUP(C418,'Base ejecuciones Oct-17 (2)'!A408:M903,2,0)</f>
        <v>59</v>
      </c>
      <c r="K418" s="71"/>
      <c r="L418" s="71">
        <f>VLOOKUP(C418,'Base ejecuciones Oct-17 (2)'!A409:M903,4,0)</f>
        <v>2</v>
      </c>
      <c r="M418" s="71"/>
      <c r="N418" s="71"/>
      <c r="O418" s="71"/>
      <c r="P418" s="71"/>
      <c r="Q418" s="71"/>
      <c r="R418" s="71"/>
      <c r="S418" s="71"/>
      <c r="T418" s="71"/>
      <c r="U418" s="71"/>
      <c r="W418"/>
    </row>
    <row r="419" spans="3:23" ht="13.9" customHeight="1">
      <c r="C419" s="69">
        <v>1140836571</v>
      </c>
      <c r="D419" s="70">
        <v>109</v>
      </c>
      <c r="E419" s="70">
        <v>37938</v>
      </c>
      <c r="F419" s="70" t="s">
        <v>300</v>
      </c>
      <c r="G419" s="70" t="s">
        <v>664</v>
      </c>
      <c r="H419" s="70" t="s">
        <v>86</v>
      </c>
      <c r="I419" s="70">
        <v>9009</v>
      </c>
      <c r="J419" s="71">
        <f>VLOOKUP(C419,'Base ejecuciones Oct-17 (2)'!A409:M904,2,0)</f>
        <v>25</v>
      </c>
      <c r="K419" s="71"/>
      <c r="L419" s="71">
        <f>VLOOKUP(C419,'Base ejecuciones Oct-17 (2)'!A410:M904,4,0)</f>
        <v>10</v>
      </c>
      <c r="M419" s="71"/>
      <c r="N419" s="71"/>
      <c r="O419" s="71"/>
      <c r="P419" s="71"/>
      <c r="Q419" s="71"/>
      <c r="R419" s="71"/>
      <c r="S419" s="71"/>
      <c r="T419" s="71"/>
      <c r="U419" s="71"/>
      <c r="W419"/>
    </row>
    <row r="420" spans="3:23" ht="13.9" customHeight="1">
      <c r="C420" s="69">
        <v>1225092537</v>
      </c>
      <c r="D420" s="70">
        <v>208</v>
      </c>
      <c r="E420" s="70">
        <v>38751</v>
      </c>
      <c r="F420" s="70" t="s">
        <v>103</v>
      </c>
      <c r="G420" s="70" t="s">
        <v>665</v>
      </c>
      <c r="H420" s="70" t="s">
        <v>116</v>
      </c>
      <c r="I420" s="70">
        <v>9005</v>
      </c>
      <c r="J420" s="71">
        <f>VLOOKUP(C420,'Base ejecuciones Oct-17 (2)'!A410:M905,2,0)</f>
        <v>45</v>
      </c>
      <c r="K420" s="71"/>
      <c r="L420" s="71">
        <f>VLOOKUP(C420,'Base ejecuciones Oct-17 (2)'!A411:M905,4,0)</f>
        <v>6</v>
      </c>
      <c r="M420" s="71"/>
      <c r="N420" s="71"/>
      <c r="O420" s="71"/>
      <c r="P420" s="71"/>
      <c r="Q420" s="71"/>
      <c r="R420" s="71"/>
      <c r="S420" s="71"/>
      <c r="T420" s="71"/>
      <c r="U420" s="71"/>
      <c r="W420"/>
    </row>
    <row r="421" spans="3:23" ht="13.9" customHeight="1">
      <c r="C421" s="69">
        <v>1144142801</v>
      </c>
      <c r="D421" s="70">
        <v>595</v>
      </c>
      <c r="E421" s="70">
        <v>9164</v>
      </c>
      <c r="F421" s="70" t="s">
        <v>262</v>
      </c>
      <c r="G421" s="70" t="s">
        <v>666</v>
      </c>
      <c r="H421" s="70" t="s">
        <v>86</v>
      </c>
      <c r="I421" s="70">
        <v>9006</v>
      </c>
      <c r="J421" s="71">
        <f>VLOOKUP(C421,'Base ejecuciones Oct-17 (2)'!A411:M906,2,0)</f>
        <v>83</v>
      </c>
      <c r="K421" s="71"/>
      <c r="L421" s="71">
        <f>VLOOKUP(C421,'Base ejecuciones Oct-17 (2)'!A412:M906,4,0)</f>
        <v>7</v>
      </c>
      <c r="M421" s="71"/>
      <c r="N421" s="71"/>
      <c r="O421" s="71"/>
      <c r="P421" s="71"/>
      <c r="Q421" s="71"/>
      <c r="R421" s="71"/>
      <c r="S421" s="71"/>
      <c r="T421" s="71"/>
      <c r="U421" s="71"/>
      <c r="W421"/>
    </row>
    <row r="422" spans="3:23" ht="13.9" customHeight="1">
      <c r="C422" s="69">
        <v>1047383884</v>
      </c>
      <c r="D422" s="70">
        <v>798</v>
      </c>
      <c r="E422" s="70">
        <v>36348</v>
      </c>
      <c r="F422" s="70" t="s">
        <v>532</v>
      </c>
      <c r="G422" s="70" t="s">
        <v>667</v>
      </c>
      <c r="H422" s="70" t="s">
        <v>86</v>
      </c>
      <c r="I422" s="70">
        <v>9009</v>
      </c>
      <c r="J422" s="71">
        <f>VLOOKUP(C422,'Base ejecuciones Oct-17 (2)'!A412:M907,2,0)</f>
        <v>77</v>
      </c>
      <c r="K422" s="71"/>
      <c r="L422" s="71">
        <f>VLOOKUP(C422,'Base ejecuciones Oct-17 (2)'!A413:M907,4,0)</f>
        <v>16</v>
      </c>
      <c r="M422" s="71"/>
      <c r="N422" s="71"/>
      <c r="O422" s="71"/>
      <c r="P422" s="71"/>
      <c r="Q422" s="71"/>
      <c r="R422" s="71"/>
      <c r="S422" s="71"/>
      <c r="T422" s="71"/>
      <c r="U422" s="71"/>
      <c r="W422"/>
    </row>
    <row r="423" spans="3:23" ht="13.9" customHeight="1">
      <c r="C423" s="69">
        <v>1015408311</v>
      </c>
      <c r="D423" s="70">
        <v>24</v>
      </c>
      <c r="E423" s="70">
        <v>9989</v>
      </c>
      <c r="F423" s="70" t="s">
        <v>345</v>
      </c>
      <c r="G423" s="70" t="s">
        <v>668</v>
      </c>
      <c r="H423" s="70" t="s">
        <v>86</v>
      </c>
      <c r="I423" s="70">
        <v>9001</v>
      </c>
      <c r="J423" s="71">
        <f>VLOOKUP(C423,'Base ejecuciones Oct-17 (2)'!A413:M908,2,0)</f>
        <v>54</v>
      </c>
      <c r="K423" s="71"/>
      <c r="L423" s="71">
        <f>VLOOKUP(C423,'Base ejecuciones Oct-17 (2)'!A414:M908,4,0)</f>
        <v>12</v>
      </c>
      <c r="M423" s="71"/>
      <c r="N423" s="71"/>
      <c r="O423" s="71"/>
      <c r="P423" s="71"/>
      <c r="Q423" s="71"/>
      <c r="R423" s="71"/>
      <c r="S423" s="71"/>
      <c r="T423" s="71"/>
      <c r="U423" s="71"/>
      <c r="W423"/>
    </row>
    <row r="424" spans="3:23" ht="13.9" customHeight="1">
      <c r="C424" s="69">
        <v>1071164818</v>
      </c>
      <c r="D424" s="70">
        <v>11</v>
      </c>
      <c r="E424" s="70">
        <v>36443</v>
      </c>
      <c r="F424" s="70" t="s">
        <v>165</v>
      </c>
      <c r="G424" s="70" t="s">
        <v>669</v>
      </c>
      <c r="H424" s="70" t="s">
        <v>86</v>
      </c>
      <c r="I424" s="70">
        <v>9002</v>
      </c>
      <c r="J424" s="71">
        <f>VLOOKUP(C424,'Base ejecuciones Oct-17 (2)'!A414:M909,2,0)</f>
        <v>39</v>
      </c>
      <c r="K424" s="71"/>
      <c r="L424" s="71">
        <f>VLOOKUP(C424,'Base ejecuciones Oct-17 (2)'!A415:M909,4,0)</f>
        <v>3</v>
      </c>
      <c r="M424" s="71"/>
      <c r="N424" s="71"/>
      <c r="O424" s="71"/>
      <c r="P424" s="71"/>
      <c r="Q424" s="71"/>
      <c r="R424" s="71"/>
      <c r="S424" s="71"/>
      <c r="T424" s="71"/>
      <c r="U424" s="71"/>
      <c r="W424"/>
    </row>
    <row r="425" spans="3:23" ht="13.9" customHeight="1">
      <c r="C425" s="69">
        <v>1022377076</v>
      </c>
      <c r="D425" s="70">
        <v>757</v>
      </c>
      <c r="E425" s="70">
        <v>9809</v>
      </c>
      <c r="F425" s="70" t="s">
        <v>536</v>
      </c>
      <c r="G425" s="70" t="s">
        <v>670</v>
      </c>
      <c r="H425" s="70" t="s">
        <v>86</v>
      </c>
      <c r="I425" s="70">
        <v>9003</v>
      </c>
      <c r="J425" s="71">
        <f>VLOOKUP(C425,'Base ejecuciones Oct-17 (2)'!A415:M910,2,0)</f>
        <v>74</v>
      </c>
      <c r="K425" s="71"/>
      <c r="L425" s="71">
        <f>VLOOKUP(C425,'Base ejecuciones Oct-17 (2)'!A416:M910,4,0)</f>
        <v>4</v>
      </c>
      <c r="M425" s="71"/>
      <c r="N425" s="71"/>
      <c r="O425" s="71"/>
      <c r="P425" s="71"/>
      <c r="Q425" s="71"/>
      <c r="R425" s="71"/>
      <c r="S425" s="71"/>
      <c r="T425" s="71"/>
      <c r="U425" s="71"/>
      <c r="W425"/>
    </row>
    <row r="426" spans="3:23" ht="13.9" customHeight="1">
      <c r="C426" s="69">
        <v>1098703717</v>
      </c>
      <c r="D426" s="70">
        <v>278</v>
      </c>
      <c r="E426" s="70">
        <v>37159</v>
      </c>
      <c r="F426" s="70" t="s">
        <v>133</v>
      </c>
      <c r="G426" s="70" t="s">
        <v>671</v>
      </c>
      <c r="H426" s="70" t="s">
        <v>86</v>
      </c>
      <c r="I426" s="70">
        <v>9008</v>
      </c>
      <c r="J426" s="71">
        <f>VLOOKUP(C426,'Base ejecuciones Oct-17 (2)'!A416:M911,2,0)</f>
        <v>82</v>
      </c>
      <c r="K426" s="71"/>
      <c r="L426" s="71">
        <f>VLOOKUP(C426,'Base ejecuciones Oct-17 (2)'!A417:M911,4,0)</f>
        <v>9</v>
      </c>
      <c r="M426" s="71"/>
      <c r="N426" s="71"/>
      <c r="O426" s="71"/>
      <c r="P426" s="71"/>
      <c r="Q426" s="71"/>
      <c r="R426" s="71"/>
      <c r="S426" s="71"/>
      <c r="T426" s="71"/>
      <c r="U426" s="71"/>
    </row>
    <row r="427" spans="3:23" ht="13.9" customHeight="1">
      <c r="C427" s="69">
        <v>1143358107</v>
      </c>
      <c r="D427" s="70">
        <v>798</v>
      </c>
      <c r="E427" s="70">
        <v>20828</v>
      </c>
      <c r="F427" s="70" t="s">
        <v>532</v>
      </c>
      <c r="G427" s="70" t="s">
        <v>672</v>
      </c>
      <c r="H427" s="70" t="s">
        <v>86</v>
      </c>
      <c r="I427" s="70">
        <v>9009</v>
      </c>
      <c r="J427" s="71">
        <f>VLOOKUP(C427,'Base ejecuciones Oct-17 (2)'!A417:M912,2,0)</f>
        <v>126</v>
      </c>
      <c r="K427" s="71"/>
      <c r="L427" s="71">
        <f>VLOOKUP(C427,'Base ejecuciones Oct-17 (2)'!A418:M912,4,0)</f>
        <v>14</v>
      </c>
      <c r="M427" s="71"/>
      <c r="N427" s="71"/>
      <c r="O427" s="71"/>
      <c r="P427" s="71"/>
      <c r="Q427" s="71"/>
      <c r="R427" s="71"/>
      <c r="S427" s="71"/>
      <c r="T427" s="71"/>
      <c r="U427" s="71"/>
    </row>
    <row r="428" spans="3:23" ht="13.9" customHeight="1">
      <c r="C428" s="69">
        <v>1098408083</v>
      </c>
      <c r="D428" s="70">
        <v>871</v>
      </c>
      <c r="E428" s="70">
        <v>38205</v>
      </c>
      <c r="F428" s="70" t="s">
        <v>447</v>
      </c>
      <c r="G428" s="70" t="s">
        <v>673</v>
      </c>
      <c r="H428" s="70" t="s">
        <v>86</v>
      </c>
      <c r="I428" s="70">
        <v>9008</v>
      </c>
      <c r="J428" s="71">
        <f>VLOOKUP(C428,'Base ejecuciones Oct-17 (2)'!A418:M913,2,0)</f>
        <v>77</v>
      </c>
      <c r="K428" s="71"/>
      <c r="L428" s="71">
        <f>VLOOKUP(C428,'Base ejecuciones Oct-17 (2)'!A419:M913,4,0)</f>
        <v>10</v>
      </c>
      <c r="M428" s="71"/>
      <c r="N428" s="71"/>
      <c r="O428" s="71"/>
      <c r="P428" s="71"/>
      <c r="Q428" s="71"/>
      <c r="R428" s="71"/>
      <c r="S428" s="71"/>
      <c r="T428" s="71"/>
      <c r="U428" s="71"/>
    </row>
    <row r="429" spans="3:23" ht="13.9" customHeight="1">
      <c r="C429" s="69">
        <v>1064998594</v>
      </c>
      <c r="D429" s="70">
        <v>191</v>
      </c>
      <c r="E429" s="70">
        <v>31177</v>
      </c>
      <c r="F429" s="70" t="s">
        <v>420</v>
      </c>
      <c r="G429" s="70" t="s">
        <v>674</v>
      </c>
      <c r="H429" s="70" t="s">
        <v>86</v>
      </c>
      <c r="I429" s="70">
        <v>9007</v>
      </c>
      <c r="J429" s="71">
        <f>VLOOKUP(C429,'Base ejecuciones Oct-17 (2)'!A419:M914,2,0)</f>
        <v>96</v>
      </c>
      <c r="K429" s="71"/>
      <c r="L429" s="71">
        <f>VLOOKUP(C429,'Base ejecuciones Oct-17 (2)'!A420:M914,4,0)</f>
        <v>12</v>
      </c>
      <c r="M429" s="71"/>
      <c r="N429" s="71"/>
      <c r="O429" s="71"/>
      <c r="P429" s="71"/>
      <c r="Q429" s="71"/>
      <c r="R429" s="71"/>
      <c r="S429" s="71"/>
      <c r="T429" s="71"/>
      <c r="U429" s="71"/>
    </row>
    <row r="430" spans="3:23" ht="13.9" customHeight="1">
      <c r="C430" s="69">
        <v>53121278</v>
      </c>
      <c r="D430" s="70">
        <v>700</v>
      </c>
      <c r="E430" s="70">
        <v>8299</v>
      </c>
      <c r="F430" s="70" t="s">
        <v>410</v>
      </c>
      <c r="G430" s="70" t="s">
        <v>675</v>
      </c>
      <c r="H430" s="70" t="s">
        <v>86</v>
      </c>
      <c r="I430" s="70">
        <v>9001</v>
      </c>
      <c r="J430" s="71">
        <f>VLOOKUP(C430,'Base ejecuciones Oct-17 (2)'!A420:M915,2,0)</f>
        <v>69</v>
      </c>
      <c r="K430" s="71"/>
      <c r="L430" s="71">
        <f>VLOOKUP(C430,'Base ejecuciones Oct-17 (2)'!A421:M915,4,0)</f>
        <v>12</v>
      </c>
      <c r="M430" s="71"/>
      <c r="N430" s="71"/>
      <c r="O430" s="71"/>
      <c r="P430" s="71"/>
      <c r="Q430" s="71"/>
      <c r="R430" s="71"/>
      <c r="S430" s="71"/>
      <c r="T430" s="71"/>
      <c r="U430" s="71"/>
    </row>
    <row r="431" spans="3:23" ht="13.9" customHeight="1">
      <c r="C431" s="69">
        <v>1030576138</v>
      </c>
      <c r="D431" s="70">
        <v>37</v>
      </c>
      <c r="E431" s="70">
        <v>9269</v>
      </c>
      <c r="F431" s="70" t="s">
        <v>490</v>
      </c>
      <c r="G431" s="70" t="s">
        <v>676</v>
      </c>
      <c r="H431" s="70" t="s">
        <v>86</v>
      </c>
      <c r="I431" s="70">
        <v>9001</v>
      </c>
      <c r="J431" s="71">
        <f>VLOOKUP(C431,'Base ejecuciones Oct-17 (2)'!A421:M916,2,0)</f>
        <v>62</v>
      </c>
      <c r="K431" s="71"/>
      <c r="L431" s="71">
        <f>VLOOKUP(C431,'Base ejecuciones Oct-17 (2)'!A422:M916,4,0)</f>
        <v>11</v>
      </c>
      <c r="M431" s="71"/>
      <c r="N431" s="71"/>
      <c r="O431" s="71"/>
      <c r="P431" s="71"/>
      <c r="Q431" s="71"/>
      <c r="R431" s="71"/>
      <c r="S431" s="71"/>
      <c r="T431" s="71"/>
      <c r="U431" s="71"/>
    </row>
    <row r="432" spans="3:23" ht="13.9" customHeight="1">
      <c r="C432" s="69">
        <v>63549086</v>
      </c>
      <c r="D432" s="70">
        <v>133</v>
      </c>
      <c r="E432" s="70">
        <v>9124</v>
      </c>
      <c r="F432" s="70" t="s">
        <v>398</v>
      </c>
      <c r="G432" s="70" t="s">
        <v>677</v>
      </c>
      <c r="H432" s="70" t="s">
        <v>86</v>
      </c>
      <c r="I432" s="70">
        <v>9008</v>
      </c>
      <c r="J432" s="71">
        <f>VLOOKUP(C432,'Base ejecuciones Oct-17 (2)'!A422:M917,2,0)</f>
        <v>53</v>
      </c>
      <c r="K432" s="71"/>
      <c r="L432" s="71">
        <f>VLOOKUP(C432,'Base ejecuciones Oct-17 (2)'!A423:M917,4,0)</f>
        <v>9</v>
      </c>
      <c r="M432" s="71"/>
      <c r="N432" s="71"/>
      <c r="O432" s="71"/>
      <c r="P432" s="71"/>
      <c r="Q432" s="71"/>
      <c r="R432" s="71"/>
      <c r="S432" s="71"/>
      <c r="T432" s="71"/>
      <c r="U432" s="71"/>
    </row>
    <row r="433" spans="3:21" ht="13.9" customHeight="1">
      <c r="C433" s="69">
        <v>1096223839</v>
      </c>
      <c r="D433" s="70">
        <v>918</v>
      </c>
      <c r="E433" s="70">
        <v>38679</v>
      </c>
      <c r="F433" s="70" t="s">
        <v>678</v>
      </c>
      <c r="G433" s="70" t="s">
        <v>679</v>
      </c>
      <c r="H433" s="70" t="s">
        <v>86</v>
      </c>
      <c r="I433" s="70">
        <v>9008</v>
      </c>
      <c r="J433" s="71">
        <f>VLOOKUP(C433,'Base ejecuciones Oct-17 (2)'!A423:M918,2,0)</f>
        <v>61</v>
      </c>
      <c r="K433" s="71"/>
      <c r="L433" s="71">
        <f>VLOOKUP(C433,'Base ejecuciones Oct-17 (2)'!A424:M918,4,0)</f>
        <v>3</v>
      </c>
      <c r="M433" s="71"/>
      <c r="N433" s="71"/>
      <c r="O433" s="71"/>
      <c r="P433" s="71"/>
      <c r="Q433" s="71"/>
      <c r="R433" s="71"/>
      <c r="S433" s="71"/>
      <c r="T433" s="71"/>
      <c r="U433" s="71"/>
    </row>
    <row r="434" spans="3:21" ht="13.9" customHeight="1">
      <c r="C434" s="69">
        <v>29681212</v>
      </c>
      <c r="D434" s="70">
        <v>159</v>
      </c>
      <c r="E434" s="70">
        <v>9503</v>
      </c>
      <c r="F434" s="70" t="s">
        <v>530</v>
      </c>
      <c r="G434" s="70" t="s">
        <v>680</v>
      </c>
      <c r="H434" s="70" t="s">
        <v>86</v>
      </c>
      <c r="I434" s="70">
        <v>9006</v>
      </c>
      <c r="J434" s="71">
        <f>VLOOKUP(C434,'Base ejecuciones Oct-17 (2)'!A424:M919,2,0)</f>
        <v>80</v>
      </c>
      <c r="K434" s="71"/>
      <c r="L434" s="71">
        <f>VLOOKUP(C434,'Base ejecuciones Oct-17 (2)'!A425:M919,4,0)</f>
        <v>13</v>
      </c>
      <c r="M434" s="71"/>
      <c r="N434" s="71"/>
      <c r="O434" s="71"/>
      <c r="P434" s="71"/>
      <c r="Q434" s="71"/>
      <c r="R434" s="71"/>
      <c r="S434" s="71"/>
      <c r="T434" s="71"/>
      <c r="U434" s="71"/>
    </row>
    <row r="435" spans="3:21" ht="13.9" customHeight="1">
      <c r="C435" s="69">
        <v>53000345</v>
      </c>
      <c r="D435" s="70">
        <v>11</v>
      </c>
      <c r="E435" s="70">
        <v>9850</v>
      </c>
      <c r="F435" s="70" t="s">
        <v>165</v>
      </c>
      <c r="G435" s="70" t="s">
        <v>681</v>
      </c>
      <c r="H435" s="70" t="s">
        <v>86</v>
      </c>
      <c r="I435" s="70">
        <v>9002</v>
      </c>
      <c r="J435" s="71">
        <f>VLOOKUP(C435,'Base ejecuciones Oct-17 (2)'!A425:M920,2,0)</f>
        <v>62</v>
      </c>
      <c r="K435" s="71"/>
      <c r="L435" s="71">
        <f>VLOOKUP(C435,'Base ejecuciones Oct-17 (2)'!A426:M920,4,0)</f>
        <v>16</v>
      </c>
      <c r="M435" s="71"/>
      <c r="N435" s="71"/>
      <c r="O435" s="71"/>
      <c r="P435" s="71"/>
      <c r="Q435" s="71"/>
      <c r="R435" s="71"/>
      <c r="S435" s="71"/>
      <c r="T435" s="71"/>
      <c r="U435" s="71"/>
    </row>
    <row r="436" spans="3:21" ht="13.9" customHeight="1">
      <c r="C436" s="69">
        <v>66859870</v>
      </c>
      <c r="D436" s="70">
        <v>150</v>
      </c>
      <c r="E436" s="70">
        <v>8241</v>
      </c>
      <c r="F436" s="70" t="s">
        <v>612</v>
      </c>
      <c r="G436" s="70" t="s">
        <v>209</v>
      </c>
      <c r="H436" s="70" t="s">
        <v>86</v>
      </c>
      <c r="I436" s="70">
        <v>9006</v>
      </c>
      <c r="J436" s="71">
        <f>VLOOKUP(C436,'Base ejecuciones Oct-17 (2)'!A426:M921,2,0)</f>
        <v>64</v>
      </c>
      <c r="K436" s="71"/>
      <c r="L436" s="71">
        <f>VLOOKUP(C436,'Base ejecuciones Oct-17 (2)'!A427:M921,4,0)</f>
        <v>15</v>
      </c>
      <c r="M436" s="71"/>
      <c r="N436" s="71"/>
      <c r="O436" s="71"/>
      <c r="P436" s="71"/>
      <c r="Q436" s="71"/>
      <c r="R436" s="71"/>
      <c r="S436" s="71"/>
      <c r="T436" s="71"/>
      <c r="U436" s="71"/>
    </row>
    <row r="437" spans="3:21" ht="13.9" customHeight="1">
      <c r="C437" s="69">
        <v>1043001415</v>
      </c>
      <c r="D437" s="70">
        <v>874</v>
      </c>
      <c r="E437" s="70">
        <v>9772</v>
      </c>
      <c r="F437" s="70" t="s">
        <v>355</v>
      </c>
      <c r="G437" s="70" t="s">
        <v>682</v>
      </c>
      <c r="H437" s="70" t="s">
        <v>86</v>
      </c>
      <c r="I437" s="70">
        <v>9009</v>
      </c>
      <c r="J437" s="71">
        <f>VLOOKUP(C437,'Base ejecuciones Oct-17 (2)'!A427:M922,2,0)</f>
        <v>55</v>
      </c>
      <c r="K437" s="71"/>
      <c r="L437" s="71">
        <f>VLOOKUP(C437,'Base ejecuciones Oct-17 (2)'!A428:M922,4,0)</f>
        <v>15</v>
      </c>
      <c r="M437" s="71"/>
      <c r="N437" s="71"/>
      <c r="O437" s="71"/>
      <c r="P437" s="71"/>
      <c r="Q437" s="71"/>
      <c r="R437" s="71"/>
      <c r="S437" s="71"/>
      <c r="T437" s="71"/>
      <c r="U437" s="71"/>
    </row>
    <row r="438" spans="3:21" ht="13.9" customHeight="1">
      <c r="C438" s="69">
        <v>49720783</v>
      </c>
      <c r="D438" s="70">
        <v>698</v>
      </c>
      <c r="E438" s="70">
        <v>8916</v>
      </c>
      <c r="F438" s="70" t="s">
        <v>296</v>
      </c>
      <c r="G438" s="70" t="s">
        <v>683</v>
      </c>
      <c r="H438" s="70" t="s">
        <v>86</v>
      </c>
      <c r="I438" s="70">
        <v>9009</v>
      </c>
      <c r="J438" s="71">
        <f>VLOOKUP(C438,'Base ejecuciones Oct-17 (2)'!A428:M923,2,0)</f>
        <v>54</v>
      </c>
      <c r="K438" s="71"/>
      <c r="L438" s="71">
        <f>VLOOKUP(C438,'Base ejecuciones Oct-17 (2)'!A429:M923,4,0)</f>
        <v>11</v>
      </c>
      <c r="M438" s="71"/>
      <c r="N438" s="71"/>
      <c r="O438" s="71"/>
      <c r="P438" s="71"/>
      <c r="Q438" s="71"/>
      <c r="R438" s="71"/>
      <c r="S438" s="71"/>
      <c r="T438" s="71"/>
      <c r="U438" s="71"/>
    </row>
    <row r="439" spans="3:21" ht="13.9" customHeight="1">
      <c r="C439" s="69">
        <v>1088008100</v>
      </c>
      <c r="D439" s="70">
        <v>206</v>
      </c>
      <c r="E439" s="70">
        <v>30907</v>
      </c>
      <c r="F439" s="70" t="s">
        <v>137</v>
      </c>
      <c r="G439" s="70" t="s">
        <v>684</v>
      </c>
      <c r="H439" s="70" t="s">
        <v>86</v>
      </c>
      <c r="I439" s="70">
        <v>9005</v>
      </c>
      <c r="J439" s="71">
        <f>VLOOKUP(C439,'Base ejecuciones Oct-17 (2)'!A429:M924,2,0)</f>
        <v>100</v>
      </c>
      <c r="K439" s="71"/>
      <c r="L439" s="71">
        <f>VLOOKUP(C439,'Base ejecuciones Oct-17 (2)'!A430:M924,4,0)</f>
        <v>13</v>
      </c>
      <c r="M439" s="71"/>
      <c r="N439" s="71"/>
      <c r="O439" s="71"/>
      <c r="P439" s="71"/>
      <c r="Q439" s="71"/>
      <c r="R439" s="71"/>
      <c r="S439" s="71"/>
      <c r="T439" s="71"/>
      <c r="U439" s="71"/>
    </row>
    <row r="440" spans="3:21" ht="13.9" customHeight="1">
      <c r="C440" s="69">
        <v>1088303587</v>
      </c>
      <c r="D440" s="70">
        <v>201</v>
      </c>
      <c r="E440" s="70">
        <v>9442</v>
      </c>
      <c r="F440" s="70" t="s">
        <v>107</v>
      </c>
      <c r="G440" s="70" t="s">
        <v>685</v>
      </c>
      <c r="H440" s="70" t="s">
        <v>86</v>
      </c>
      <c r="I440" s="70">
        <v>9005</v>
      </c>
      <c r="J440" s="71">
        <f>VLOOKUP(C440,'Base ejecuciones Oct-17 (2)'!A430:M925,2,0)</f>
        <v>49</v>
      </c>
      <c r="K440" s="71"/>
      <c r="L440" s="71">
        <f>VLOOKUP(C440,'Base ejecuciones Oct-17 (2)'!A431:M925,4,0)</f>
        <v>13</v>
      </c>
      <c r="M440" s="71"/>
      <c r="N440" s="71"/>
      <c r="O440" s="71"/>
      <c r="P440" s="71"/>
      <c r="Q440" s="71"/>
      <c r="R440" s="71"/>
      <c r="S440" s="71"/>
      <c r="T440" s="71"/>
      <c r="U440" s="71"/>
    </row>
    <row r="441" spans="3:21" ht="13.9" customHeight="1">
      <c r="C441" s="69">
        <v>53168083</v>
      </c>
      <c r="D441" s="70">
        <v>3</v>
      </c>
      <c r="E441" s="70">
        <v>38820</v>
      </c>
      <c r="F441" s="70" t="s">
        <v>163</v>
      </c>
      <c r="G441" s="70" t="s">
        <v>686</v>
      </c>
      <c r="H441" s="70" t="s">
        <v>86</v>
      </c>
      <c r="I441" s="70">
        <v>9003</v>
      </c>
      <c r="J441" s="71">
        <f>VLOOKUP(C441,'Base ejecuciones Oct-17 (2)'!A431:M926,2,0)</f>
        <v>36</v>
      </c>
      <c r="K441" s="71"/>
      <c r="L441" s="71">
        <f>VLOOKUP(C441,'Base ejecuciones Oct-17 (2)'!A432:M926,4,0)</f>
        <v>8</v>
      </c>
      <c r="M441" s="71"/>
      <c r="N441" s="71"/>
      <c r="O441" s="71"/>
      <c r="P441" s="71"/>
      <c r="Q441" s="71"/>
      <c r="R441" s="71"/>
      <c r="S441" s="71"/>
      <c r="T441" s="71"/>
      <c r="U441" s="71"/>
    </row>
    <row r="442" spans="3:21" ht="13.9" customHeight="1">
      <c r="C442" s="69">
        <v>49762724</v>
      </c>
      <c r="D442" s="70">
        <v>123</v>
      </c>
      <c r="E442" s="70">
        <v>8328</v>
      </c>
      <c r="F442" s="70" t="s">
        <v>543</v>
      </c>
      <c r="G442" s="70" t="s">
        <v>687</v>
      </c>
      <c r="H442" s="70" t="s">
        <v>86</v>
      </c>
      <c r="I442" s="70">
        <v>9009</v>
      </c>
      <c r="J442" s="71">
        <f>VLOOKUP(C442,'Base ejecuciones Oct-17 (2)'!A432:M927,2,0)</f>
        <v>68</v>
      </c>
      <c r="K442" s="71"/>
      <c r="L442" s="71">
        <f>VLOOKUP(C442,'Base ejecuciones Oct-17 (2)'!A433:M927,4,0)</f>
        <v>5</v>
      </c>
      <c r="M442" s="71"/>
      <c r="N442" s="71"/>
      <c r="O442" s="71"/>
      <c r="P442" s="71"/>
      <c r="Q442" s="71"/>
      <c r="R442" s="71"/>
      <c r="S442" s="71"/>
      <c r="T442" s="71"/>
      <c r="U442" s="71"/>
    </row>
    <row r="443" spans="3:21" ht="13.9" customHeight="1">
      <c r="C443" s="69">
        <v>59826204</v>
      </c>
      <c r="D443" s="70">
        <v>715</v>
      </c>
      <c r="E443" s="70">
        <v>8234</v>
      </c>
      <c r="F443" s="70" t="s">
        <v>688</v>
      </c>
      <c r="G443" s="70" t="s">
        <v>689</v>
      </c>
      <c r="H443" s="70" t="s">
        <v>86</v>
      </c>
      <c r="I443" s="70">
        <v>9006</v>
      </c>
      <c r="J443" s="71">
        <f>VLOOKUP(C443,'Base ejecuciones Oct-17 (2)'!A433:M928,2,0)</f>
        <v>69</v>
      </c>
      <c r="K443" s="71"/>
      <c r="L443" s="71">
        <f>VLOOKUP(C443,'Base ejecuciones Oct-17 (2)'!A434:M928,4,0)</f>
        <v>7</v>
      </c>
      <c r="M443" s="71"/>
      <c r="N443" s="71"/>
      <c r="O443" s="71"/>
      <c r="P443" s="71"/>
      <c r="Q443" s="71"/>
      <c r="R443" s="71"/>
      <c r="S443" s="71"/>
      <c r="T443" s="71"/>
      <c r="U443" s="71"/>
    </row>
    <row r="444" spans="3:21" ht="13.9" customHeight="1">
      <c r="C444" s="69">
        <v>43526336</v>
      </c>
      <c r="D444" s="70">
        <v>176</v>
      </c>
      <c r="E444" s="70">
        <v>9149</v>
      </c>
      <c r="F444" s="70" t="s">
        <v>298</v>
      </c>
      <c r="G444" s="70" t="s">
        <v>690</v>
      </c>
      <c r="H444" s="70" t="s">
        <v>86</v>
      </c>
      <c r="I444" s="70">
        <v>9007</v>
      </c>
      <c r="J444" s="71">
        <f>VLOOKUP(C444,'Base ejecuciones Oct-17 (2)'!A434:M929,2,0)</f>
        <v>41</v>
      </c>
      <c r="K444" s="71"/>
      <c r="L444" s="71">
        <f>VLOOKUP(C444,'Base ejecuciones Oct-17 (2)'!A435:M929,4,0)</f>
        <v>4</v>
      </c>
      <c r="M444" s="71"/>
      <c r="N444" s="71"/>
      <c r="O444" s="71"/>
      <c r="P444" s="71"/>
      <c r="Q444" s="71"/>
      <c r="R444" s="71"/>
      <c r="S444" s="71"/>
      <c r="T444" s="71"/>
      <c r="U444" s="71"/>
    </row>
    <row r="445" spans="3:21" ht="13.9" customHeight="1">
      <c r="C445" s="69">
        <v>1144201555</v>
      </c>
      <c r="D445" s="70">
        <v>152</v>
      </c>
      <c r="E445" s="70">
        <v>38485</v>
      </c>
      <c r="F445" s="70" t="s">
        <v>606</v>
      </c>
      <c r="G445" s="70" t="s">
        <v>691</v>
      </c>
      <c r="H445" s="70" t="s">
        <v>86</v>
      </c>
      <c r="I445" s="70">
        <v>9006</v>
      </c>
      <c r="J445" s="71">
        <f>VLOOKUP(C445,'Base ejecuciones Oct-17 (2)'!A435:M930,2,0)</f>
        <v>204</v>
      </c>
      <c r="K445" s="71"/>
      <c r="L445" s="71">
        <f>VLOOKUP(C445,'Base ejecuciones Oct-17 (2)'!A436:M930,4,0)</f>
        <v>6</v>
      </c>
      <c r="M445" s="71"/>
      <c r="N445" s="71"/>
      <c r="O445" s="71"/>
      <c r="P445" s="71"/>
      <c r="Q445" s="71"/>
      <c r="R445" s="71"/>
      <c r="S445" s="71"/>
      <c r="T445" s="71"/>
      <c r="U445" s="71"/>
    </row>
    <row r="446" spans="3:21" ht="13.9" customHeight="1">
      <c r="C446" s="69">
        <v>1022324423</v>
      </c>
      <c r="D446" s="70">
        <v>3</v>
      </c>
      <c r="E446" s="70">
        <v>31169</v>
      </c>
      <c r="F446" s="70" t="s">
        <v>163</v>
      </c>
      <c r="G446" s="70" t="s">
        <v>692</v>
      </c>
      <c r="H446" s="70" t="s">
        <v>86</v>
      </c>
      <c r="I446" s="70">
        <v>9003</v>
      </c>
      <c r="J446" s="71">
        <f>VLOOKUP(C446,'Base ejecuciones Oct-17 (2)'!A436:M931,2,0)</f>
        <v>38</v>
      </c>
      <c r="K446" s="71"/>
      <c r="L446" s="71">
        <f>VLOOKUP(C446,'Base ejecuciones Oct-17 (2)'!A437:M931,4,0)</f>
        <v>12</v>
      </c>
      <c r="M446" s="71"/>
      <c r="N446" s="71"/>
      <c r="O446" s="71"/>
      <c r="P446" s="71"/>
      <c r="Q446" s="71"/>
      <c r="R446" s="71"/>
      <c r="S446" s="71"/>
      <c r="T446" s="71"/>
      <c r="U446" s="71"/>
    </row>
    <row r="447" spans="3:21" ht="13.9" customHeight="1">
      <c r="C447" s="69">
        <v>1140855334</v>
      </c>
      <c r="D447" s="70">
        <v>107</v>
      </c>
      <c r="E447" s="70">
        <v>10291</v>
      </c>
      <c r="F447" s="70" t="s">
        <v>621</v>
      </c>
      <c r="G447" s="70" t="s">
        <v>693</v>
      </c>
      <c r="H447" s="70" t="s">
        <v>86</v>
      </c>
      <c r="I447" s="70">
        <v>9009</v>
      </c>
      <c r="J447" s="71">
        <f>VLOOKUP(C447,'Base ejecuciones Oct-17 (2)'!A437:M932,2,0)</f>
        <v>44</v>
      </c>
      <c r="K447" s="71"/>
      <c r="L447" s="71">
        <f>VLOOKUP(C447,'Base ejecuciones Oct-17 (2)'!A438:M932,4,0)</f>
        <v>13</v>
      </c>
      <c r="M447" s="71"/>
      <c r="N447" s="71"/>
      <c r="O447" s="71"/>
      <c r="P447" s="71"/>
      <c r="Q447" s="71"/>
      <c r="R447" s="71"/>
      <c r="S447" s="71"/>
      <c r="T447" s="71"/>
      <c r="U447" s="71"/>
    </row>
    <row r="448" spans="3:21" ht="13.9" customHeight="1">
      <c r="C448" s="69">
        <v>1098651364</v>
      </c>
      <c r="D448" s="70">
        <v>918</v>
      </c>
      <c r="E448" s="70">
        <v>9495</v>
      </c>
      <c r="F448" s="70" t="s">
        <v>678</v>
      </c>
      <c r="G448" s="70" t="s">
        <v>694</v>
      </c>
      <c r="H448" s="70" t="s">
        <v>86</v>
      </c>
      <c r="I448" s="70">
        <v>9008</v>
      </c>
      <c r="J448" s="71">
        <f>VLOOKUP(C448,'Base ejecuciones Oct-17 (2)'!A438:M933,2,0)</f>
        <v>66</v>
      </c>
      <c r="K448" s="71"/>
      <c r="L448" s="71">
        <f>VLOOKUP(C448,'Base ejecuciones Oct-17 (2)'!A439:M933,4,0)</f>
        <v>12</v>
      </c>
      <c r="M448" s="71"/>
      <c r="N448" s="71"/>
      <c r="O448" s="71"/>
      <c r="P448" s="71"/>
      <c r="Q448" s="71"/>
      <c r="R448" s="71"/>
      <c r="S448" s="71"/>
      <c r="T448" s="71"/>
      <c r="U448" s="71"/>
    </row>
    <row r="449" spans="3:21" ht="13.9" customHeight="1">
      <c r="C449" s="69">
        <v>35198506</v>
      </c>
      <c r="D449" s="70">
        <v>498</v>
      </c>
      <c r="E449" s="70">
        <v>9337</v>
      </c>
      <c r="F449" s="70" t="s">
        <v>573</v>
      </c>
      <c r="G449" s="70" t="s">
        <v>695</v>
      </c>
      <c r="H449" s="70" t="s">
        <v>86</v>
      </c>
      <c r="I449" s="70">
        <v>9001</v>
      </c>
      <c r="J449" s="71">
        <f>VLOOKUP(C449,'Base ejecuciones Oct-17 (2)'!A439:M934,2,0)</f>
        <v>85</v>
      </c>
      <c r="K449" s="71"/>
      <c r="L449" s="71">
        <f>VLOOKUP(C449,'Base ejecuciones Oct-17 (2)'!A440:M934,4,0)</f>
        <v>3</v>
      </c>
      <c r="M449" s="71"/>
      <c r="N449" s="71"/>
      <c r="O449" s="71"/>
      <c r="P449" s="71"/>
      <c r="Q449" s="71"/>
      <c r="R449" s="71"/>
      <c r="S449" s="71"/>
      <c r="T449" s="71"/>
      <c r="U449" s="71"/>
    </row>
    <row r="450" spans="3:21" ht="13.9" customHeight="1">
      <c r="C450" s="69">
        <v>1108934001</v>
      </c>
      <c r="D450" s="70">
        <v>897</v>
      </c>
      <c r="E450" s="70">
        <v>38207</v>
      </c>
      <c r="F450" s="70" t="s">
        <v>499</v>
      </c>
      <c r="G450" s="70" t="s">
        <v>696</v>
      </c>
      <c r="H450" s="70" t="s">
        <v>86</v>
      </c>
      <c r="I450" s="70">
        <v>9004</v>
      </c>
      <c r="J450" s="71">
        <f>VLOOKUP(C450,'Base ejecuciones Oct-17 (2)'!A440:M935,2,0)</f>
        <v>47</v>
      </c>
      <c r="K450" s="71"/>
      <c r="L450" s="71">
        <f>VLOOKUP(C450,'Base ejecuciones Oct-17 (2)'!A441:M935,4,0)</f>
        <v>14</v>
      </c>
      <c r="M450" s="71"/>
      <c r="N450" s="71"/>
      <c r="O450" s="71"/>
      <c r="P450" s="71"/>
      <c r="Q450" s="71"/>
      <c r="R450" s="71"/>
      <c r="S450" s="71"/>
      <c r="T450" s="71"/>
      <c r="U450" s="71"/>
    </row>
    <row r="451" spans="3:21" ht="13.9" customHeight="1">
      <c r="C451" s="69">
        <v>1140837022</v>
      </c>
      <c r="D451" s="70">
        <v>913</v>
      </c>
      <c r="E451" s="70">
        <v>37902</v>
      </c>
      <c r="F451" s="70" t="s">
        <v>194</v>
      </c>
      <c r="G451" s="70" t="s">
        <v>697</v>
      </c>
      <c r="H451" s="70" t="s">
        <v>86</v>
      </c>
      <c r="I451" s="70">
        <v>9009</v>
      </c>
      <c r="J451" s="71">
        <f>VLOOKUP(C451,'Base ejecuciones Oct-17 (2)'!A441:M936,2,0)</f>
        <v>7</v>
      </c>
      <c r="K451" s="71"/>
      <c r="L451" s="71">
        <f>VLOOKUP(C451,'Base ejecuciones Oct-17 (2)'!A442:M936,4,0)</f>
        <v>3</v>
      </c>
      <c r="M451" s="71"/>
      <c r="N451" s="71"/>
      <c r="O451" s="71"/>
      <c r="P451" s="71"/>
      <c r="Q451" s="71"/>
      <c r="R451" s="71"/>
      <c r="S451" s="71"/>
      <c r="T451" s="71"/>
      <c r="U451" s="71"/>
    </row>
    <row r="452" spans="3:21" ht="13.9" customHeight="1">
      <c r="C452" s="69">
        <v>1020770948</v>
      </c>
      <c r="D452" s="70">
        <v>37</v>
      </c>
      <c r="E452" s="70">
        <v>36371</v>
      </c>
      <c r="F452" s="70" t="s">
        <v>490</v>
      </c>
      <c r="G452" s="70" t="s">
        <v>698</v>
      </c>
      <c r="H452" s="70" t="s">
        <v>116</v>
      </c>
      <c r="I452" s="70">
        <v>9001</v>
      </c>
      <c r="J452" s="71">
        <f>VLOOKUP(C452,'Base ejecuciones Oct-17 (2)'!A442:M937,2,0)</f>
        <v>67</v>
      </c>
      <c r="K452" s="71"/>
      <c r="L452" s="71">
        <f>VLOOKUP(C452,'Base ejecuciones Oct-17 (2)'!A443:M937,4,0)</f>
        <v>9</v>
      </c>
      <c r="M452" s="71"/>
      <c r="N452" s="71"/>
      <c r="O452" s="71"/>
      <c r="P452" s="71"/>
      <c r="Q452" s="71"/>
      <c r="R452" s="71"/>
      <c r="S452" s="71"/>
      <c r="T452" s="71"/>
      <c r="U452" s="71"/>
    </row>
    <row r="453" spans="3:21" ht="13.9" customHeight="1">
      <c r="C453" s="69">
        <v>1032372097</v>
      </c>
      <c r="D453" s="70">
        <v>67</v>
      </c>
      <c r="E453" s="70">
        <v>38819</v>
      </c>
      <c r="F453" s="70" t="s">
        <v>393</v>
      </c>
      <c r="G453" s="70" t="s">
        <v>699</v>
      </c>
      <c r="H453" s="70" t="s">
        <v>86</v>
      </c>
      <c r="I453" s="70">
        <v>9004</v>
      </c>
      <c r="J453" s="71">
        <f>VLOOKUP(C453,'Base ejecuciones Oct-17 (2)'!A443:M938,2,0)</f>
        <v>28</v>
      </c>
      <c r="K453" s="71"/>
      <c r="L453" s="71">
        <f>VLOOKUP(C453,'Base ejecuciones Oct-17 (2)'!A444:M938,4,0)</f>
        <v>5</v>
      </c>
      <c r="M453" s="71"/>
      <c r="N453" s="71"/>
      <c r="O453" s="71"/>
      <c r="P453" s="71"/>
      <c r="Q453" s="71"/>
      <c r="R453" s="71"/>
      <c r="S453" s="71"/>
      <c r="T453" s="71"/>
      <c r="U453" s="71"/>
    </row>
    <row r="454" spans="3:21" ht="13.9" customHeight="1">
      <c r="C454" s="69">
        <v>1032399410</v>
      </c>
      <c r="D454" s="70">
        <v>792</v>
      </c>
      <c r="E454" s="70">
        <v>8309</v>
      </c>
      <c r="F454" s="70" t="s">
        <v>127</v>
      </c>
      <c r="G454" s="70" t="s">
        <v>700</v>
      </c>
      <c r="H454" s="70" t="s">
        <v>116</v>
      </c>
      <c r="I454" s="70">
        <v>9002</v>
      </c>
      <c r="J454" s="71">
        <f>VLOOKUP(C454,'Base ejecuciones Oct-17 (2)'!A444:M939,2,0)</f>
        <v>24</v>
      </c>
      <c r="K454" s="71"/>
      <c r="L454" s="71">
        <f>VLOOKUP(C454,'Base ejecuciones Oct-17 (2)'!A445:M939,4,0)</f>
        <v>5</v>
      </c>
      <c r="M454" s="71"/>
      <c r="N454" s="71"/>
      <c r="O454" s="71"/>
      <c r="P454" s="71"/>
      <c r="Q454" s="71"/>
      <c r="R454" s="71"/>
      <c r="S454" s="71"/>
      <c r="T454" s="71"/>
      <c r="U454" s="71"/>
    </row>
    <row r="455" spans="3:21" ht="13.9" customHeight="1">
      <c r="C455" s="69">
        <v>1140851012</v>
      </c>
      <c r="D455" s="70">
        <v>101</v>
      </c>
      <c r="E455" s="70">
        <v>38311</v>
      </c>
      <c r="F455" s="70" t="s">
        <v>180</v>
      </c>
      <c r="G455" s="70" t="s">
        <v>701</v>
      </c>
      <c r="H455" s="70" t="s">
        <v>86</v>
      </c>
      <c r="I455" s="70">
        <v>9009</v>
      </c>
      <c r="J455" s="71">
        <f>VLOOKUP(C455,'Base ejecuciones Oct-17 (2)'!A445:M940,2,0)</f>
        <v>54</v>
      </c>
      <c r="K455" s="71"/>
      <c r="L455" s="71">
        <f>VLOOKUP(C455,'Base ejecuciones Oct-17 (2)'!A446:M940,4,0)</f>
        <v>9</v>
      </c>
      <c r="M455" s="71"/>
      <c r="N455" s="71"/>
      <c r="O455" s="71"/>
      <c r="P455" s="71"/>
      <c r="Q455" s="71"/>
      <c r="R455" s="71"/>
      <c r="S455" s="71"/>
      <c r="T455" s="71"/>
      <c r="U455" s="71"/>
    </row>
    <row r="456" spans="3:21" ht="13.9" customHeight="1">
      <c r="C456" s="69">
        <v>31435396</v>
      </c>
      <c r="D456" s="70">
        <v>885</v>
      </c>
      <c r="E456" s="70">
        <v>9987</v>
      </c>
      <c r="F456" s="70" t="s">
        <v>187</v>
      </c>
      <c r="G456" s="70" t="s">
        <v>702</v>
      </c>
      <c r="H456" s="70" t="s">
        <v>86</v>
      </c>
      <c r="I456" s="70">
        <v>9005</v>
      </c>
      <c r="J456" s="71">
        <f>VLOOKUP(C456,'Base ejecuciones Oct-17 (2)'!A446:M941,2,0)</f>
        <v>91</v>
      </c>
      <c r="K456" s="71"/>
      <c r="L456" s="71">
        <f>VLOOKUP(C456,'Base ejecuciones Oct-17 (2)'!A447:M941,4,0)</f>
        <v>12</v>
      </c>
      <c r="M456" s="71"/>
      <c r="N456" s="71"/>
      <c r="O456" s="71"/>
      <c r="P456" s="71"/>
      <c r="Q456" s="71"/>
      <c r="R456" s="71"/>
      <c r="S456" s="71"/>
      <c r="T456" s="71"/>
      <c r="U456" s="71"/>
    </row>
    <row r="457" spans="3:21" ht="13.9" customHeight="1">
      <c r="C457" s="69">
        <v>1055273054</v>
      </c>
      <c r="D457" s="70">
        <v>757</v>
      </c>
      <c r="E457" s="70">
        <v>37821</v>
      </c>
      <c r="F457" s="70" t="s">
        <v>536</v>
      </c>
      <c r="G457" s="70" t="s">
        <v>703</v>
      </c>
      <c r="H457" s="70" t="s">
        <v>86</v>
      </c>
      <c r="I457" s="70">
        <v>9003</v>
      </c>
      <c r="J457" s="71">
        <f>VLOOKUP(C457,'Base ejecuciones Oct-17 (2)'!A447:M942,2,0)</f>
        <v>121</v>
      </c>
      <c r="K457" s="71"/>
      <c r="L457" s="71">
        <f>VLOOKUP(C457,'Base ejecuciones Oct-17 (2)'!A448:M942,4,0)</f>
        <v>4</v>
      </c>
      <c r="M457" s="71"/>
      <c r="N457" s="71"/>
      <c r="O457" s="71"/>
      <c r="P457" s="71"/>
      <c r="Q457" s="71"/>
      <c r="R457" s="71"/>
      <c r="S457" s="71"/>
      <c r="T457" s="71"/>
      <c r="U457" s="71"/>
    </row>
    <row r="458" spans="3:21" ht="13.9" customHeight="1">
      <c r="C458" s="69">
        <v>1014270719</v>
      </c>
      <c r="D458" s="70">
        <v>196</v>
      </c>
      <c r="E458" s="70">
        <v>36872</v>
      </c>
      <c r="F458" s="70" t="s">
        <v>144</v>
      </c>
      <c r="G458" s="70" t="s">
        <v>704</v>
      </c>
      <c r="H458" s="70" t="s">
        <v>86</v>
      </c>
      <c r="I458" s="70">
        <v>9003</v>
      </c>
      <c r="J458" s="71">
        <f>VLOOKUP(C458,'Base ejecuciones Oct-17 (2)'!A448:M943,2,0)</f>
        <v>110</v>
      </c>
      <c r="K458" s="71"/>
      <c r="L458" s="71">
        <f>VLOOKUP(C458,'Base ejecuciones Oct-17 (2)'!A449:M943,4,0)</f>
        <v>12</v>
      </c>
      <c r="M458" s="71"/>
      <c r="N458" s="71"/>
      <c r="O458" s="71"/>
      <c r="P458" s="71"/>
      <c r="Q458" s="71"/>
      <c r="R458" s="71"/>
      <c r="S458" s="71"/>
      <c r="T458" s="71"/>
      <c r="U458" s="71"/>
    </row>
    <row r="459" spans="3:21" ht="13.9" customHeight="1">
      <c r="C459" s="69">
        <v>1014265855</v>
      </c>
      <c r="D459" s="70">
        <v>48</v>
      </c>
      <c r="E459" s="70">
        <v>38001</v>
      </c>
      <c r="F459" s="70" t="s">
        <v>247</v>
      </c>
      <c r="G459" s="70" t="s">
        <v>705</v>
      </c>
      <c r="H459" s="70" t="s">
        <v>86</v>
      </c>
      <c r="I459" s="70">
        <v>9003</v>
      </c>
      <c r="J459" s="71">
        <f>VLOOKUP(C459,'Base ejecuciones Oct-17 (2)'!A449:M944,2,0)</f>
        <v>72</v>
      </c>
      <c r="K459" s="71"/>
      <c r="L459" s="71">
        <f>VLOOKUP(C459,'Base ejecuciones Oct-17 (2)'!A450:M944,4,0)</f>
        <v>2</v>
      </c>
      <c r="M459" s="71"/>
      <c r="N459" s="71"/>
      <c r="O459" s="71"/>
      <c r="P459" s="71"/>
      <c r="Q459" s="71"/>
      <c r="R459" s="71"/>
      <c r="S459" s="71"/>
      <c r="T459" s="71"/>
      <c r="U459" s="71"/>
    </row>
    <row r="460" spans="3:21" ht="13.9" customHeight="1">
      <c r="C460" s="69">
        <v>1031140758</v>
      </c>
      <c r="D460" s="70">
        <v>46</v>
      </c>
      <c r="E460" s="70">
        <v>38129</v>
      </c>
      <c r="F460" s="70" t="s">
        <v>492</v>
      </c>
      <c r="G460" s="70" t="s">
        <v>706</v>
      </c>
      <c r="H460" s="70" t="s">
        <v>86</v>
      </c>
      <c r="I460" s="70">
        <v>9003</v>
      </c>
      <c r="J460" s="71">
        <f>VLOOKUP(C460,'Base ejecuciones Oct-17 (2)'!A450:M945,2,0)</f>
        <v>47</v>
      </c>
      <c r="K460" s="71"/>
      <c r="L460" s="71">
        <f>VLOOKUP(C460,'Base ejecuciones Oct-17 (2)'!A451:M945,4,0)</f>
        <v>5</v>
      </c>
      <c r="M460" s="71"/>
      <c r="N460" s="71"/>
      <c r="O460" s="71"/>
      <c r="P460" s="71"/>
      <c r="Q460" s="71"/>
      <c r="R460" s="71"/>
      <c r="S460" s="71"/>
      <c r="T460" s="71"/>
      <c r="U460" s="71"/>
    </row>
    <row r="461" spans="3:21" ht="13.9" customHeight="1">
      <c r="C461" s="69">
        <v>1013647534</v>
      </c>
      <c r="D461" s="70">
        <v>48</v>
      </c>
      <c r="E461" s="70">
        <v>38096</v>
      </c>
      <c r="F461" s="70" t="s">
        <v>247</v>
      </c>
      <c r="G461" s="70" t="s">
        <v>707</v>
      </c>
      <c r="H461" s="70" t="s">
        <v>116</v>
      </c>
      <c r="I461" s="70">
        <v>9003</v>
      </c>
      <c r="J461" s="71">
        <f>VLOOKUP(C461,'Base ejecuciones Oct-17 (2)'!A451:M946,2,0)</f>
        <v>37</v>
      </c>
      <c r="K461" s="71"/>
      <c r="L461" s="71">
        <f>VLOOKUP(C461,'Base ejecuciones Oct-17 (2)'!A452:M946,4,0)</f>
        <v>5</v>
      </c>
      <c r="M461" s="71"/>
      <c r="N461" s="71"/>
      <c r="O461" s="71"/>
      <c r="P461" s="71"/>
      <c r="Q461" s="71"/>
      <c r="R461" s="71"/>
      <c r="S461" s="71"/>
      <c r="T461" s="71"/>
      <c r="U461" s="71"/>
    </row>
    <row r="462" spans="3:21" ht="13.9" customHeight="1">
      <c r="C462" s="69">
        <v>80920929</v>
      </c>
      <c r="D462" s="70">
        <v>3</v>
      </c>
      <c r="E462" s="70">
        <v>38247</v>
      </c>
      <c r="F462" s="70" t="s">
        <v>163</v>
      </c>
      <c r="G462" s="70" t="s">
        <v>708</v>
      </c>
      <c r="H462" s="70" t="s">
        <v>86</v>
      </c>
      <c r="I462" s="70">
        <v>9003</v>
      </c>
      <c r="J462" s="71">
        <f>VLOOKUP(C462,'Base ejecuciones Oct-17 (2)'!A452:M947,2,0)</f>
        <v>52</v>
      </c>
      <c r="K462" s="71"/>
      <c r="L462" s="71">
        <f>VLOOKUP(C462,'Base ejecuciones Oct-17 (2)'!A453:M947,4,0)</f>
        <v>16</v>
      </c>
      <c r="M462" s="71"/>
      <c r="N462" s="71"/>
      <c r="O462" s="71"/>
      <c r="P462" s="71"/>
      <c r="Q462" s="71"/>
      <c r="R462" s="71"/>
      <c r="S462" s="71"/>
      <c r="T462" s="71"/>
      <c r="U462" s="71"/>
    </row>
    <row r="463" spans="3:21" ht="13.9" customHeight="1">
      <c r="C463" s="69">
        <v>52969353</v>
      </c>
      <c r="D463" s="70">
        <v>51</v>
      </c>
      <c r="E463" s="70">
        <v>8807</v>
      </c>
      <c r="F463" s="70" t="s">
        <v>326</v>
      </c>
      <c r="G463" s="70" t="s">
        <v>709</v>
      </c>
      <c r="H463" s="70" t="s">
        <v>86</v>
      </c>
      <c r="I463" s="70">
        <v>9002</v>
      </c>
      <c r="J463" s="71">
        <f>VLOOKUP(C463,'Base ejecuciones Oct-17 (2)'!A453:M948,2,0)</f>
        <v>63</v>
      </c>
      <c r="K463" s="71"/>
      <c r="L463" s="71">
        <f>VLOOKUP(C463,'Base ejecuciones Oct-17 (2)'!A454:M948,4,0)</f>
        <v>14</v>
      </c>
      <c r="M463" s="71"/>
      <c r="N463" s="71"/>
      <c r="O463" s="71"/>
      <c r="P463" s="71"/>
      <c r="Q463" s="71"/>
      <c r="R463" s="71"/>
      <c r="S463" s="71"/>
      <c r="T463" s="71"/>
      <c r="U463" s="71"/>
    </row>
    <row r="464" spans="3:21" ht="13.9" customHeight="1">
      <c r="C464" s="69">
        <v>1151947043</v>
      </c>
      <c r="D464" s="70">
        <v>141</v>
      </c>
      <c r="E464" s="70">
        <v>9845</v>
      </c>
      <c r="F464" s="70" t="s">
        <v>155</v>
      </c>
      <c r="G464" s="70" t="s">
        <v>710</v>
      </c>
      <c r="H464" s="70" t="s">
        <v>86</v>
      </c>
      <c r="I464" s="70">
        <v>9006</v>
      </c>
      <c r="J464" s="71">
        <f>VLOOKUP(C464,'Base ejecuciones Oct-17 (2)'!A454:M949,2,0)</f>
        <v>69</v>
      </c>
      <c r="K464" s="71"/>
      <c r="L464" s="71">
        <f>VLOOKUP(C464,'Base ejecuciones Oct-17 (2)'!A455:M949,4,0)</f>
        <v>16</v>
      </c>
      <c r="M464" s="71"/>
      <c r="N464" s="71"/>
      <c r="O464" s="71"/>
      <c r="P464" s="71"/>
      <c r="Q464" s="71"/>
      <c r="R464" s="71"/>
      <c r="S464" s="71"/>
      <c r="T464" s="71"/>
      <c r="U464" s="71"/>
    </row>
    <row r="465" spans="3:21" ht="13.9" customHeight="1">
      <c r="C465" s="69">
        <v>1130597421</v>
      </c>
      <c r="D465" s="70">
        <v>145</v>
      </c>
      <c r="E465" s="70">
        <v>36753</v>
      </c>
      <c r="F465" s="70" t="s">
        <v>651</v>
      </c>
      <c r="G465" s="70" t="s">
        <v>711</v>
      </c>
      <c r="H465" s="70" t="s">
        <v>86</v>
      </c>
      <c r="I465" s="70">
        <v>9006</v>
      </c>
      <c r="J465" s="71">
        <f>VLOOKUP(C465,'Base ejecuciones Oct-17 (2)'!A455:M950,2,0)</f>
        <v>59</v>
      </c>
      <c r="K465" s="71"/>
      <c r="L465" s="71">
        <f>VLOOKUP(C465,'Base ejecuciones Oct-17 (2)'!A456:M950,4,0)</f>
        <v>15</v>
      </c>
      <c r="M465" s="71"/>
      <c r="N465" s="71"/>
      <c r="O465" s="71"/>
      <c r="P465" s="71"/>
      <c r="Q465" s="71"/>
      <c r="R465" s="71"/>
      <c r="S465" s="71"/>
      <c r="T465" s="71"/>
      <c r="U465" s="71"/>
    </row>
    <row r="466" spans="3:21" ht="13.9" customHeight="1">
      <c r="C466" s="69">
        <v>1130612571</v>
      </c>
      <c r="D466" s="70">
        <v>145</v>
      </c>
      <c r="E466" s="70">
        <v>36724</v>
      </c>
      <c r="F466" s="70" t="s">
        <v>651</v>
      </c>
      <c r="G466" s="70" t="s">
        <v>712</v>
      </c>
      <c r="H466" s="70" t="s">
        <v>86</v>
      </c>
      <c r="I466" s="70">
        <v>9006</v>
      </c>
      <c r="J466" s="71">
        <f>VLOOKUP(C466,'Base ejecuciones Oct-17 (2)'!A456:M951,2,0)</f>
        <v>84</v>
      </c>
      <c r="K466" s="71"/>
      <c r="L466" s="71">
        <f>VLOOKUP(C466,'Base ejecuciones Oct-17 (2)'!A457:M951,4,0)</f>
        <v>12</v>
      </c>
      <c r="M466" s="71"/>
      <c r="N466" s="71"/>
      <c r="O466" s="71"/>
      <c r="P466" s="71"/>
      <c r="Q466" s="71"/>
      <c r="R466" s="71"/>
      <c r="S466" s="71"/>
      <c r="T466" s="71"/>
      <c r="U466" s="71"/>
    </row>
    <row r="467" spans="3:21" ht="13.9" customHeight="1">
      <c r="C467" s="69">
        <v>1022981259</v>
      </c>
      <c r="D467" s="70">
        <v>69</v>
      </c>
      <c r="E467" s="70">
        <v>9581</v>
      </c>
      <c r="F467" s="70" t="s">
        <v>95</v>
      </c>
      <c r="G467" s="70" t="s">
        <v>713</v>
      </c>
      <c r="H467" s="70" t="s">
        <v>86</v>
      </c>
      <c r="I467" s="70">
        <v>9004</v>
      </c>
      <c r="J467" s="71">
        <f>VLOOKUP(C467,'Base ejecuciones Oct-17 (2)'!A457:M952,2,0)</f>
        <v>87</v>
      </c>
      <c r="K467" s="71"/>
      <c r="L467" s="71">
        <f>VLOOKUP(C467,'Base ejecuciones Oct-17 (2)'!A458:M952,4,0)</f>
        <v>16</v>
      </c>
      <c r="M467" s="71"/>
      <c r="N467" s="71"/>
      <c r="O467" s="71"/>
      <c r="P467" s="71"/>
      <c r="Q467" s="71"/>
      <c r="R467" s="71"/>
      <c r="S467" s="71"/>
      <c r="T467" s="71"/>
      <c r="U467" s="71"/>
    </row>
    <row r="468" spans="3:21" ht="13.9" customHeight="1">
      <c r="C468" s="69">
        <v>1069584339</v>
      </c>
      <c r="D468" s="70">
        <v>156</v>
      </c>
      <c r="E468" s="70">
        <v>35995</v>
      </c>
      <c r="F468" s="70" t="s">
        <v>203</v>
      </c>
      <c r="G468" s="70" t="s">
        <v>714</v>
      </c>
      <c r="H468" s="70" t="s">
        <v>116</v>
      </c>
      <c r="I468" s="70">
        <v>9004</v>
      </c>
      <c r="J468" s="71">
        <f>VLOOKUP(C468,'Base ejecuciones Oct-17 (2)'!A458:M953,2,0)</f>
        <v>63</v>
      </c>
      <c r="K468" s="71"/>
      <c r="L468" s="71">
        <f>VLOOKUP(C468,'Base ejecuciones Oct-17 (2)'!A459:M953,4,0)</f>
        <v>7</v>
      </c>
      <c r="M468" s="71"/>
      <c r="N468" s="71"/>
      <c r="O468" s="71"/>
      <c r="P468" s="71"/>
      <c r="Q468" s="71"/>
      <c r="R468" s="71"/>
      <c r="S468" s="71"/>
      <c r="T468" s="71"/>
      <c r="U468" s="71"/>
    </row>
    <row r="469" spans="3:21" ht="13.9" customHeight="1">
      <c r="C469" s="69">
        <v>1037606667</v>
      </c>
      <c r="D469" s="70">
        <v>684</v>
      </c>
      <c r="E469" s="70">
        <v>37396</v>
      </c>
      <c r="F469" s="70" t="s">
        <v>441</v>
      </c>
      <c r="G469" s="70" t="s">
        <v>715</v>
      </c>
      <c r="H469" s="70" t="s">
        <v>86</v>
      </c>
      <c r="I469" s="70">
        <v>9007</v>
      </c>
      <c r="J469" s="71">
        <f>VLOOKUP(C469,'Base ejecuciones Oct-17 (2)'!A459:M954,2,0)</f>
        <v>55</v>
      </c>
      <c r="K469" s="71"/>
      <c r="L469" s="71">
        <f>VLOOKUP(C469,'Base ejecuciones Oct-17 (2)'!A460:M954,4,0)</f>
        <v>18</v>
      </c>
      <c r="M469" s="71"/>
      <c r="N469" s="71"/>
      <c r="O469" s="71"/>
      <c r="P469" s="71"/>
      <c r="Q469" s="71"/>
      <c r="R469" s="71"/>
      <c r="S469" s="71"/>
      <c r="T469" s="71"/>
      <c r="U469" s="71"/>
    </row>
    <row r="470" spans="3:21" ht="13.9" customHeight="1">
      <c r="C470" s="69">
        <v>1152204752</v>
      </c>
      <c r="D470" s="70">
        <v>171</v>
      </c>
      <c r="E470" s="70">
        <v>36313</v>
      </c>
      <c r="F470" s="70" t="s">
        <v>123</v>
      </c>
      <c r="G470" s="70" t="s">
        <v>716</v>
      </c>
      <c r="H470" s="70" t="s">
        <v>116</v>
      </c>
      <c r="I470" s="70">
        <v>9007</v>
      </c>
      <c r="J470" s="71">
        <f>VLOOKUP(C470,'Base ejecuciones Oct-17 (2)'!A460:M955,2,0)</f>
        <v>28</v>
      </c>
      <c r="K470" s="71"/>
      <c r="L470" s="71">
        <f>VLOOKUP(C470,'Base ejecuciones Oct-17 (2)'!A461:M955,4,0)</f>
        <v>1</v>
      </c>
      <c r="M470" s="71"/>
      <c r="N470" s="71"/>
      <c r="O470" s="71"/>
      <c r="P470" s="71"/>
      <c r="Q470" s="71"/>
      <c r="R470" s="71"/>
      <c r="S470" s="71"/>
      <c r="T470" s="71"/>
      <c r="U470" s="71"/>
    </row>
    <row r="471" spans="3:21" ht="13.9" customHeight="1">
      <c r="C471" s="69">
        <v>1032389982</v>
      </c>
      <c r="D471" s="70">
        <v>21</v>
      </c>
      <c r="E471" s="70">
        <v>9089</v>
      </c>
      <c r="F471" s="70" t="s">
        <v>373</v>
      </c>
      <c r="G471" s="70" t="s">
        <v>717</v>
      </c>
      <c r="H471" s="70" t="s">
        <v>86</v>
      </c>
      <c r="I471" s="70">
        <v>9002</v>
      </c>
      <c r="J471" s="71">
        <f>VLOOKUP(C471,'Base ejecuciones Oct-17 (2)'!A461:M956,2,0)</f>
        <v>109</v>
      </c>
      <c r="K471" s="71"/>
      <c r="L471" s="71">
        <f>VLOOKUP(C471,'Base ejecuciones Oct-17 (2)'!A462:M956,4,0)</f>
        <v>11</v>
      </c>
      <c r="M471" s="71"/>
      <c r="N471" s="71"/>
      <c r="O471" s="71"/>
      <c r="P471" s="71"/>
      <c r="Q471" s="71"/>
      <c r="R471" s="71"/>
      <c r="S471" s="71"/>
      <c r="T471" s="71"/>
      <c r="U471" s="71"/>
    </row>
    <row r="472" spans="3:21" ht="13.9" customHeight="1">
      <c r="C472" s="69">
        <v>63552070</v>
      </c>
      <c r="D472" s="70">
        <v>38</v>
      </c>
      <c r="E472" s="70">
        <v>36929</v>
      </c>
      <c r="F472" s="70" t="s">
        <v>505</v>
      </c>
      <c r="G472" s="70" t="s">
        <v>718</v>
      </c>
      <c r="H472" s="70" t="s">
        <v>86</v>
      </c>
      <c r="I472" s="70">
        <v>9008</v>
      </c>
      <c r="J472" s="71">
        <f>VLOOKUP(C472,'Base ejecuciones Oct-17 (2)'!A462:M957,2,0)</f>
        <v>34</v>
      </c>
      <c r="K472" s="71"/>
      <c r="L472" s="71">
        <f>VLOOKUP(C472,'Base ejecuciones Oct-17 (2)'!A463:M957,4,0)</f>
        <v>4</v>
      </c>
      <c r="M472" s="71"/>
      <c r="N472" s="71"/>
      <c r="O472" s="71"/>
      <c r="P472" s="71"/>
      <c r="Q472" s="71"/>
      <c r="R472" s="71"/>
      <c r="S472" s="71"/>
      <c r="T472" s="71"/>
      <c r="U472" s="71"/>
    </row>
    <row r="473" spans="3:21" ht="13.9" customHeight="1">
      <c r="C473" s="69">
        <v>1033749808</v>
      </c>
      <c r="D473" s="70">
        <v>66</v>
      </c>
      <c r="E473" s="70">
        <v>9652</v>
      </c>
      <c r="F473" s="70" t="s">
        <v>348</v>
      </c>
      <c r="G473" s="70" t="s">
        <v>719</v>
      </c>
      <c r="H473" s="70" t="s">
        <v>86</v>
      </c>
      <c r="I473" s="70">
        <v>9004</v>
      </c>
      <c r="J473" s="71">
        <f>VLOOKUP(C473,'Base ejecuciones Oct-17 (2)'!A463:M958,2,0)</f>
        <v>27</v>
      </c>
      <c r="K473" s="71"/>
      <c r="L473" s="71">
        <f>VLOOKUP(C473,'Base ejecuciones Oct-17 (2)'!A464:M958,4,0)</f>
        <v>1</v>
      </c>
      <c r="M473" s="71"/>
      <c r="N473" s="71"/>
      <c r="O473" s="71"/>
      <c r="P473" s="71"/>
      <c r="Q473" s="71"/>
      <c r="R473" s="71"/>
      <c r="S473" s="71"/>
      <c r="T473" s="71"/>
      <c r="U473" s="71"/>
    </row>
    <row r="474" spans="3:21" ht="13.9" customHeight="1">
      <c r="C474" s="69">
        <v>1010161953</v>
      </c>
      <c r="D474" s="70">
        <v>923</v>
      </c>
      <c r="E474" s="70">
        <v>9458</v>
      </c>
      <c r="F474" s="70" t="s">
        <v>328</v>
      </c>
      <c r="G474" s="70" t="s">
        <v>720</v>
      </c>
      <c r="H474" s="70" t="s">
        <v>86</v>
      </c>
      <c r="I474" s="70">
        <v>9004</v>
      </c>
      <c r="J474" s="71">
        <f>VLOOKUP(C474,'Base ejecuciones Oct-17 (2)'!A464:M959,2,0)</f>
        <v>127</v>
      </c>
      <c r="K474" s="71"/>
      <c r="L474" s="71">
        <f>VLOOKUP(C474,'Base ejecuciones Oct-17 (2)'!A465:M959,4,0)</f>
        <v>0</v>
      </c>
      <c r="M474" s="71"/>
      <c r="N474" s="71"/>
      <c r="O474" s="71"/>
      <c r="P474" s="71"/>
      <c r="Q474" s="71"/>
      <c r="R474" s="71"/>
      <c r="S474" s="71"/>
      <c r="T474" s="71"/>
      <c r="U474" s="71"/>
    </row>
    <row r="475" spans="3:21" ht="13.9" customHeight="1">
      <c r="C475" s="69">
        <v>40334560</v>
      </c>
      <c r="D475" s="70">
        <v>93</v>
      </c>
      <c r="E475" s="70">
        <v>9579</v>
      </c>
      <c r="F475" s="70" t="s">
        <v>395</v>
      </c>
      <c r="G475" s="70" t="s">
        <v>721</v>
      </c>
      <c r="H475" s="70" t="s">
        <v>86</v>
      </c>
      <c r="I475" s="70">
        <v>9008</v>
      </c>
      <c r="J475" s="71">
        <f>VLOOKUP(C475,'Base ejecuciones Oct-17 (2)'!A465:M960,2,0)</f>
        <v>30</v>
      </c>
      <c r="K475" s="71"/>
      <c r="L475" s="71">
        <f>VLOOKUP(C475,'Base ejecuciones Oct-17 (2)'!A466:M960,4,0)</f>
        <v>2</v>
      </c>
      <c r="M475" s="71"/>
      <c r="N475" s="71"/>
      <c r="O475" s="71"/>
      <c r="P475" s="71"/>
      <c r="Q475" s="71"/>
      <c r="R475" s="71"/>
      <c r="S475" s="71"/>
      <c r="T475" s="71"/>
      <c r="U475" s="71"/>
    </row>
    <row r="476" spans="3:21" ht="13.9" customHeight="1">
      <c r="C476" s="69">
        <v>1107064830</v>
      </c>
      <c r="D476" s="70">
        <v>765</v>
      </c>
      <c r="E476" s="70">
        <v>31377</v>
      </c>
      <c r="F476" s="70" t="s">
        <v>210</v>
      </c>
      <c r="G476" s="70" t="s">
        <v>722</v>
      </c>
      <c r="H476" s="70" t="s">
        <v>86</v>
      </c>
      <c r="I476" s="70">
        <v>9006</v>
      </c>
      <c r="J476" s="71">
        <f>VLOOKUP(C476,'Base ejecuciones Oct-17 (2)'!A466:M961,2,0)</f>
        <v>78</v>
      </c>
      <c r="K476" s="71"/>
      <c r="L476" s="71">
        <f>VLOOKUP(C476,'Base ejecuciones Oct-17 (2)'!A467:M961,4,0)</f>
        <v>12</v>
      </c>
      <c r="M476" s="71"/>
      <c r="N476" s="71"/>
      <c r="O476" s="71"/>
      <c r="P476" s="71"/>
      <c r="Q476" s="71"/>
      <c r="R476" s="71"/>
      <c r="S476" s="71"/>
      <c r="T476" s="71"/>
      <c r="U476" s="71"/>
    </row>
    <row r="477" spans="3:21" ht="13.9" customHeight="1">
      <c r="C477" s="69">
        <v>9295484</v>
      </c>
      <c r="D477" s="70">
        <v>862</v>
      </c>
      <c r="E477" s="70">
        <v>8663</v>
      </c>
      <c r="F477" s="70" t="s">
        <v>99</v>
      </c>
      <c r="G477" s="70" t="s">
        <v>723</v>
      </c>
      <c r="H477" s="70" t="s">
        <v>86</v>
      </c>
      <c r="I477" s="70">
        <v>9009</v>
      </c>
      <c r="J477" s="71">
        <f>VLOOKUP(C477,'Base ejecuciones Oct-17 (2)'!A467:M962,2,0)</f>
        <v>126</v>
      </c>
      <c r="K477" s="71"/>
      <c r="L477" s="71">
        <f>VLOOKUP(C477,'Base ejecuciones Oct-17 (2)'!A468:M962,4,0)</f>
        <v>6</v>
      </c>
      <c r="M477" s="71"/>
      <c r="N477" s="71"/>
      <c r="O477" s="71"/>
      <c r="P477" s="71"/>
      <c r="Q477" s="71"/>
      <c r="R477" s="71"/>
      <c r="S477" s="71"/>
      <c r="T477" s="71"/>
      <c r="U477" s="71"/>
    </row>
    <row r="478" spans="3:21" ht="13.9" customHeight="1">
      <c r="C478" s="69">
        <v>53093283</v>
      </c>
      <c r="D478" s="70">
        <v>51</v>
      </c>
      <c r="E478" s="70">
        <v>9354</v>
      </c>
      <c r="F478" s="70" t="s">
        <v>326</v>
      </c>
      <c r="G478" s="70" t="s">
        <v>724</v>
      </c>
      <c r="H478" s="70" t="s">
        <v>86</v>
      </c>
      <c r="I478" s="70">
        <v>9002</v>
      </c>
      <c r="J478" s="71">
        <f>VLOOKUP(C478,'Base ejecuciones Oct-17 (2)'!A468:M963,2,0)</f>
        <v>30</v>
      </c>
      <c r="K478" s="71"/>
      <c r="L478" s="71">
        <f>VLOOKUP(C478,'Base ejecuciones Oct-17 (2)'!A469:M963,4,0)</f>
        <v>4</v>
      </c>
      <c r="M478" s="71"/>
      <c r="N478" s="71"/>
      <c r="O478" s="71"/>
      <c r="P478" s="71"/>
      <c r="Q478" s="71"/>
      <c r="R478" s="71"/>
      <c r="S478" s="71"/>
      <c r="T478" s="71"/>
      <c r="U478" s="71"/>
    </row>
    <row r="479" spans="3:21" ht="13.9" customHeight="1">
      <c r="C479" s="69">
        <v>1144166407</v>
      </c>
      <c r="D479" s="70">
        <v>586</v>
      </c>
      <c r="E479" s="70">
        <v>37981</v>
      </c>
      <c r="F479" s="70" t="s">
        <v>390</v>
      </c>
      <c r="G479" s="70" t="s">
        <v>725</v>
      </c>
      <c r="H479" s="70" t="s">
        <v>86</v>
      </c>
      <c r="I479" s="70">
        <v>9006</v>
      </c>
      <c r="J479" s="71">
        <f>VLOOKUP(C479,'Base ejecuciones Oct-17 (2)'!A469:M964,2,0)</f>
        <v>53</v>
      </c>
      <c r="K479" s="71"/>
      <c r="L479" s="71">
        <f>VLOOKUP(C479,'Base ejecuciones Oct-17 (2)'!A470:M964,4,0)</f>
        <v>6</v>
      </c>
      <c r="M479" s="71"/>
      <c r="N479" s="71"/>
      <c r="O479" s="71"/>
      <c r="P479" s="71"/>
      <c r="Q479" s="71"/>
      <c r="R479" s="71"/>
      <c r="S479" s="71"/>
      <c r="T479" s="71"/>
      <c r="U479" s="71"/>
    </row>
    <row r="480" spans="3:21" ht="13.9" customHeight="1">
      <c r="C480" s="69">
        <v>1023890332</v>
      </c>
      <c r="D480" s="70">
        <v>66</v>
      </c>
      <c r="E480" s="70">
        <v>32893</v>
      </c>
      <c r="F480" s="70" t="s">
        <v>348</v>
      </c>
      <c r="G480" s="70" t="s">
        <v>726</v>
      </c>
      <c r="H480" s="70" t="s">
        <v>86</v>
      </c>
      <c r="I480" s="70">
        <v>9004</v>
      </c>
      <c r="J480" s="71">
        <f>VLOOKUP(C480,'Base ejecuciones Oct-17 (2)'!A470:M965,2,0)</f>
        <v>63</v>
      </c>
      <c r="K480" s="71"/>
      <c r="L480" s="71">
        <f>VLOOKUP(C480,'Base ejecuciones Oct-17 (2)'!A471:M965,4,0)</f>
        <v>3</v>
      </c>
      <c r="M480" s="71"/>
      <c r="N480" s="71"/>
      <c r="O480" s="71"/>
      <c r="P480" s="71"/>
      <c r="Q480" s="71"/>
      <c r="R480" s="71"/>
      <c r="S480" s="71"/>
      <c r="T480" s="71"/>
      <c r="U480" s="71"/>
    </row>
    <row r="481" spans="3:21" ht="13.9" customHeight="1">
      <c r="C481" s="69">
        <v>1110503292</v>
      </c>
      <c r="D481" s="70">
        <v>77</v>
      </c>
      <c r="E481" s="70">
        <v>9754</v>
      </c>
      <c r="F481" s="70" t="s">
        <v>623</v>
      </c>
      <c r="G481" s="70" t="s">
        <v>727</v>
      </c>
      <c r="H481" s="70" t="s">
        <v>86</v>
      </c>
      <c r="I481" s="70">
        <v>9004</v>
      </c>
      <c r="J481" s="71">
        <f>VLOOKUP(C481,'Base ejecuciones Oct-17 (2)'!A471:M966,2,0)</f>
        <v>59</v>
      </c>
      <c r="K481" s="71"/>
      <c r="L481" s="71">
        <f>VLOOKUP(C481,'Base ejecuciones Oct-17 (2)'!A472:M966,4,0)</f>
        <v>13</v>
      </c>
      <c r="M481" s="71"/>
      <c r="N481" s="71"/>
      <c r="O481" s="71"/>
      <c r="P481" s="71"/>
      <c r="Q481" s="71"/>
      <c r="R481" s="71"/>
      <c r="S481" s="71"/>
      <c r="T481" s="71"/>
      <c r="U481" s="71"/>
    </row>
    <row r="482" spans="3:21" ht="13.9" customHeight="1">
      <c r="C482" s="69">
        <v>1113634883</v>
      </c>
      <c r="D482" s="70">
        <v>153</v>
      </c>
      <c r="E482" s="70">
        <v>37549</v>
      </c>
      <c r="F482" s="70" t="s">
        <v>728</v>
      </c>
      <c r="G482" s="70" t="s">
        <v>729</v>
      </c>
      <c r="H482" s="70" t="s">
        <v>86</v>
      </c>
      <c r="I482" s="70">
        <v>9006</v>
      </c>
      <c r="J482" s="71">
        <f>VLOOKUP(C482,'Base ejecuciones Oct-17 (2)'!A472:M967,2,0)</f>
        <v>43</v>
      </c>
      <c r="K482" s="71"/>
      <c r="L482" s="71">
        <f>VLOOKUP(C482,'Base ejecuciones Oct-17 (2)'!A473:M967,4,0)</f>
        <v>15</v>
      </c>
      <c r="M482" s="71"/>
      <c r="N482" s="71"/>
      <c r="O482" s="71"/>
      <c r="P482" s="71"/>
      <c r="Q482" s="71"/>
      <c r="R482" s="71"/>
      <c r="S482" s="71"/>
      <c r="T482" s="71"/>
      <c r="U482" s="71"/>
    </row>
    <row r="483" spans="3:21" ht="13.9" customHeight="1">
      <c r="C483" s="69">
        <v>1130672714</v>
      </c>
      <c r="D483" s="70">
        <v>141</v>
      </c>
      <c r="E483" s="70">
        <v>37314</v>
      </c>
      <c r="F483" s="70" t="s">
        <v>155</v>
      </c>
      <c r="G483" s="70" t="s">
        <v>730</v>
      </c>
      <c r="H483" s="70" t="s">
        <v>86</v>
      </c>
      <c r="I483" s="70">
        <v>9006</v>
      </c>
      <c r="J483" s="71">
        <f>VLOOKUP(C483,'Base ejecuciones Oct-17 (2)'!A473:M968,2,0)</f>
        <v>50</v>
      </c>
      <c r="K483" s="71"/>
      <c r="L483" s="71">
        <f>VLOOKUP(C483,'Base ejecuciones Oct-17 (2)'!A474:M968,4,0)</f>
        <v>7</v>
      </c>
      <c r="M483" s="71"/>
      <c r="N483" s="71"/>
      <c r="O483" s="71"/>
      <c r="P483" s="71"/>
      <c r="Q483" s="71"/>
      <c r="R483" s="71"/>
      <c r="S483" s="71"/>
      <c r="T483" s="71"/>
      <c r="U483" s="71"/>
    </row>
    <row r="484" spans="3:21" ht="13.9" customHeight="1">
      <c r="C484" s="69">
        <v>1088308878</v>
      </c>
      <c r="D484" s="70">
        <v>202</v>
      </c>
      <c r="E484" s="70">
        <v>36766</v>
      </c>
      <c r="F484" s="70" t="s">
        <v>357</v>
      </c>
      <c r="G484" s="70" t="s">
        <v>731</v>
      </c>
      <c r="H484" s="70" t="s">
        <v>86</v>
      </c>
      <c r="I484" s="70">
        <v>9005</v>
      </c>
      <c r="J484" s="71">
        <f>VLOOKUP(C484,'Base ejecuciones Oct-17 (2)'!A474:M969,2,0)</f>
        <v>67</v>
      </c>
      <c r="K484" s="71"/>
      <c r="L484" s="71">
        <f>VLOOKUP(C484,'Base ejecuciones Oct-17 (2)'!A475:M969,4,0)</f>
        <v>17</v>
      </c>
      <c r="M484" s="71"/>
      <c r="N484" s="71"/>
      <c r="O484" s="71"/>
      <c r="P484" s="71"/>
      <c r="Q484" s="71"/>
      <c r="R484" s="71"/>
      <c r="S484" s="71"/>
      <c r="T484" s="71"/>
      <c r="U484" s="71"/>
    </row>
    <row r="485" spans="3:21" ht="13.9" customHeight="1">
      <c r="C485" s="69">
        <v>1130670335</v>
      </c>
      <c r="D485" s="70">
        <v>153</v>
      </c>
      <c r="E485" s="70">
        <v>9851</v>
      </c>
      <c r="F485" s="70" t="s">
        <v>728</v>
      </c>
      <c r="G485" s="70" t="s">
        <v>732</v>
      </c>
      <c r="H485" s="70" t="s">
        <v>86</v>
      </c>
      <c r="I485" s="70">
        <v>9006</v>
      </c>
      <c r="J485" s="71">
        <f>VLOOKUP(C485,'Base ejecuciones Oct-17 (2)'!A475:M970,2,0)</f>
        <v>43</v>
      </c>
      <c r="K485" s="71"/>
      <c r="L485" s="71">
        <f>VLOOKUP(C485,'Base ejecuciones Oct-17 (2)'!A476:M970,4,0)</f>
        <v>8</v>
      </c>
      <c r="M485" s="71"/>
      <c r="N485" s="71"/>
      <c r="O485" s="71"/>
      <c r="P485" s="71"/>
      <c r="Q485" s="71"/>
      <c r="R485" s="71"/>
      <c r="S485" s="71"/>
      <c r="T485" s="71"/>
      <c r="U485" s="71"/>
    </row>
    <row r="486" spans="3:21" ht="13.9" customHeight="1">
      <c r="C486" s="69">
        <v>37321903</v>
      </c>
      <c r="D486" s="70">
        <v>121</v>
      </c>
      <c r="E486" s="70">
        <v>8326</v>
      </c>
      <c r="F486" s="70" t="s">
        <v>406</v>
      </c>
      <c r="G486" s="70" t="s">
        <v>733</v>
      </c>
      <c r="H486" s="70" t="s">
        <v>86</v>
      </c>
      <c r="I486" s="70">
        <v>9009</v>
      </c>
      <c r="J486" s="71">
        <f>VLOOKUP(C486,'Base ejecuciones Oct-17 (2)'!A476:M971,2,0)</f>
        <v>0</v>
      </c>
      <c r="K486" s="71"/>
      <c r="L486" s="71">
        <f>VLOOKUP(C486,'Base ejecuciones Oct-17 (2)'!A477:M971,4,0)</f>
        <v>0</v>
      </c>
      <c r="M486" s="71"/>
      <c r="N486" s="71"/>
      <c r="O486" s="71"/>
      <c r="P486" s="71"/>
      <c r="Q486" s="71"/>
      <c r="R486" s="71"/>
      <c r="S486" s="71"/>
      <c r="T486" s="71"/>
      <c r="U486" s="71"/>
    </row>
    <row r="487" spans="3:21" ht="13.9" customHeight="1">
      <c r="C487" s="69">
        <v>1019088583</v>
      </c>
      <c r="D487" s="70">
        <v>51</v>
      </c>
      <c r="E487" s="70">
        <v>38234</v>
      </c>
      <c r="F487" s="70" t="s">
        <v>326</v>
      </c>
      <c r="G487" s="70" t="s">
        <v>734</v>
      </c>
      <c r="H487" s="70" t="s">
        <v>86</v>
      </c>
      <c r="I487" s="70">
        <v>9002</v>
      </c>
      <c r="J487" s="71">
        <f>VLOOKUP(C487,'Base ejecuciones Oct-17 (2)'!A477:M972,2,0)</f>
        <v>50</v>
      </c>
      <c r="K487" s="71"/>
      <c r="L487" s="71">
        <f>VLOOKUP(C487,'Base ejecuciones Oct-17 (2)'!A478:M972,4,0)</f>
        <v>2</v>
      </c>
      <c r="M487" s="71"/>
      <c r="N487" s="71"/>
      <c r="O487" s="71"/>
      <c r="P487" s="71"/>
      <c r="Q487" s="71"/>
      <c r="R487" s="71"/>
      <c r="S487" s="71"/>
      <c r="T487" s="71"/>
      <c r="U487" s="71"/>
    </row>
    <row r="488" spans="3:21" ht="13.9" customHeight="1">
      <c r="C488" s="69">
        <v>80807040</v>
      </c>
      <c r="D488" s="70">
        <v>634</v>
      </c>
      <c r="E488" s="70">
        <v>9196</v>
      </c>
      <c r="F488" s="70" t="s">
        <v>224</v>
      </c>
      <c r="G488" s="70" t="s">
        <v>735</v>
      </c>
      <c r="H488" s="70" t="s">
        <v>86</v>
      </c>
      <c r="I488" s="70">
        <v>9001</v>
      </c>
      <c r="J488" s="71">
        <f>VLOOKUP(C488,'Base ejecuciones Oct-17 (2)'!A478:M973,2,0)</f>
        <v>85</v>
      </c>
      <c r="K488" s="71"/>
      <c r="L488" s="71">
        <f>VLOOKUP(C488,'Base ejecuciones Oct-17 (2)'!A479:M973,4,0)</f>
        <v>12</v>
      </c>
      <c r="M488" s="71"/>
      <c r="N488" s="71"/>
      <c r="O488" s="71"/>
      <c r="P488" s="71"/>
      <c r="Q488" s="71"/>
      <c r="R488" s="71"/>
      <c r="S488" s="71"/>
      <c r="T488" s="71"/>
      <c r="U488" s="71"/>
    </row>
    <row r="489" spans="3:21" ht="13.9" customHeight="1">
      <c r="C489" s="69">
        <v>80058124</v>
      </c>
      <c r="D489" s="70">
        <v>757</v>
      </c>
      <c r="E489" s="70">
        <v>9863</v>
      </c>
      <c r="F489" s="70" t="s">
        <v>536</v>
      </c>
      <c r="G489" s="70" t="s">
        <v>736</v>
      </c>
      <c r="H489" s="70" t="s">
        <v>86</v>
      </c>
      <c r="I489" s="70">
        <v>9003</v>
      </c>
      <c r="J489" s="71">
        <f>VLOOKUP(C489,'Base ejecuciones Oct-17 (2)'!A479:M974,2,0)</f>
        <v>74</v>
      </c>
      <c r="K489" s="71"/>
      <c r="L489" s="71">
        <f>VLOOKUP(C489,'Base ejecuciones Oct-17 (2)'!A480:M974,4,0)</f>
        <v>8</v>
      </c>
      <c r="M489" s="71"/>
      <c r="N489" s="71"/>
      <c r="O489" s="71"/>
      <c r="P489" s="71"/>
      <c r="Q489" s="71"/>
      <c r="R489" s="71"/>
      <c r="S489" s="71"/>
      <c r="T489" s="71"/>
      <c r="U489" s="71"/>
    </row>
    <row r="490" spans="3:21" ht="13.9" customHeight="1">
      <c r="C490" s="69">
        <v>52067261</v>
      </c>
      <c r="D490" s="70">
        <v>37</v>
      </c>
      <c r="E490" s="70">
        <v>9905</v>
      </c>
      <c r="F490" s="70" t="s">
        <v>490</v>
      </c>
      <c r="G490" s="70" t="s">
        <v>737</v>
      </c>
      <c r="H490" s="70" t="s">
        <v>86</v>
      </c>
      <c r="I490" s="70">
        <v>9001</v>
      </c>
      <c r="J490" s="71">
        <f>VLOOKUP(C490,'Base ejecuciones Oct-17 (2)'!A480:M975,2,0)</f>
        <v>78</v>
      </c>
      <c r="K490" s="71"/>
      <c r="L490" s="71">
        <f>VLOOKUP(C490,'Base ejecuciones Oct-17 (2)'!A481:M975,4,0)</f>
        <v>12</v>
      </c>
      <c r="M490" s="71"/>
      <c r="N490" s="71"/>
      <c r="O490" s="71"/>
      <c r="P490" s="71"/>
      <c r="Q490" s="71"/>
      <c r="R490" s="71"/>
      <c r="S490" s="71"/>
      <c r="T490" s="71"/>
      <c r="U490" s="71"/>
    </row>
    <row r="491" spans="3:21" ht="13.9" customHeight="1">
      <c r="C491" s="69">
        <v>1088008856</v>
      </c>
      <c r="D491" s="70">
        <v>206</v>
      </c>
      <c r="E491" s="70">
        <v>37379</v>
      </c>
      <c r="F491" s="70" t="s">
        <v>137</v>
      </c>
      <c r="G491" s="70" t="s">
        <v>738</v>
      </c>
      <c r="H491" s="70" t="s">
        <v>86</v>
      </c>
      <c r="I491" s="70">
        <v>9005</v>
      </c>
      <c r="J491" s="71">
        <f>VLOOKUP(C491,'Base ejecuciones Oct-17 (2)'!A481:M976,2,0)</f>
        <v>99</v>
      </c>
      <c r="K491" s="71"/>
      <c r="L491" s="71">
        <f>VLOOKUP(C491,'Base ejecuciones Oct-17 (2)'!A482:M976,4,0)</f>
        <v>19</v>
      </c>
      <c r="M491" s="71"/>
      <c r="N491" s="71"/>
      <c r="O491" s="71"/>
      <c r="P491" s="71"/>
      <c r="Q491" s="71"/>
      <c r="R491" s="71"/>
      <c r="S491" s="71"/>
      <c r="T491" s="71"/>
      <c r="U491" s="71"/>
    </row>
    <row r="492" spans="3:21" ht="13.9" customHeight="1">
      <c r="C492" s="44"/>
      <c r="D492" s="44"/>
      <c r="E492" s="44"/>
      <c r="F492" s="44"/>
      <c r="G492" s="46"/>
      <c r="H492" s="56"/>
    </row>
    <row r="493" spans="3:21" ht="13.9" customHeight="1">
      <c r="C493" s="44"/>
      <c r="D493" s="44"/>
      <c r="E493" s="44"/>
      <c r="F493" s="44"/>
      <c r="G493" s="46"/>
      <c r="H493" s="56"/>
    </row>
    <row r="494" spans="3:21" ht="13.9" customHeight="1">
      <c r="C494" s="44"/>
      <c r="D494" s="44"/>
      <c r="E494" s="44"/>
      <c r="F494" s="44"/>
      <c r="G494" s="46"/>
      <c r="H494" s="56"/>
    </row>
    <row r="495" spans="3:21" ht="13.9" customHeight="1">
      <c r="C495" s="44"/>
      <c r="D495" s="44"/>
      <c r="E495" s="44"/>
      <c r="F495" s="44"/>
      <c r="G495" s="46"/>
      <c r="H495" s="56"/>
    </row>
    <row r="496" spans="3:21" ht="13.9" customHeight="1">
      <c r="C496" s="44"/>
      <c r="D496" s="44"/>
      <c r="E496" s="44"/>
      <c r="F496" s="44"/>
      <c r="G496" s="46"/>
      <c r="H496" s="56"/>
    </row>
    <row r="497" spans="3:8" ht="13.9" customHeight="1">
      <c r="C497" s="44"/>
      <c r="D497" s="44"/>
      <c r="E497" s="44"/>
      <c r="F497" s="44"/>
      <c r="G497" s="46"/>
      <c r="H497" s="56"/>
    </row>
    <row r="498" spans="3:8" ht="13.9" customHeight="1">
      <c r="C498" s="44"/>
      <c r="D498" s="44"/>
      <c r="E498" s="44"/>
      <c r="F498" s="44"/>
      <c r="G498" s="46"/>
      <c r="H498" s="56"/>
    </row>
    <row r="499" spans="3:8" ht="13.9" customHeight="1">
      <c r="C499" s="44"/>
      <c r="D499" s="44"/>
      <c r="E499" s="44"/>
      <c r="F499" s="44"/>
      <c r="G499" s="46"/>
      <c r="H499" s="56"/>
    </row>
    <row r="500" spans="3:8" ht="13.9" customHeight="1">
      <c r="C500" s="44"/>
      <c r="D500" s="44"/>
      <c r="E500" s="44"/>
      <c r="F500" s="44"/>
      <c r="G500" s="46"/>
      <c r="H500" s="56"/>
    </row>
    <row r="501" spans="3:8" ht="13.9" customHeight="1">
      <c r="C501" s="44"/>
      <c r="D501" s="44"/>
      <c r="E501" s="44"/>
      <c r="F501" s="44"/>
      <c r="G501" s="46"/>
      <c r="H501" s="56"/>
    </row>
    <row r="502" spans="3:8" ht="13.9" customHeight="1">
      <c r="C502" s="44"/>
      <c r="D502" s="44"/>
      <c r="E502" s="44"/>
      <c r="F502" s="44"/>
      <c r="G502" s="46"/>
      <c r="H502" s="56"/>
    </row>
    <row r="503" spans="3:8" ht="13.9" customHeight="1">
      <c r="C503" s="44"/>
      <c r="D503" s="44"/>
      <c r="E503" s="44"/>
      <c r="F503" s="44"/>
      <c r="G503" s="46"/>
      <c r="H503" s="56"/>
    </row>
    <row r="504" spans="3:8" ht="13.9" customHeight="1">
      <c r="C504" s="44"/>
      <c r="D504" s="44"/>
      <c r="E504" s="44"/>
      <c r="F504" s="44"/>
      <c r="G504" s="46"/>
      <c r="H504" s="56"/>
    </row>
    <row r="505" spans="3:8" ht="13.9" customHeight="1">
      <c r="C505" s="44"/>
      <c r="D505" s="44"/>
      <c r="E505" s="44"/>
      <c r="F505" s="44"/>
      <c r="G505" s="46"/>
      <c r="H505" s="56"/>
    </row>
    <row r="506" spans="3:8" ht="13.9" customHeight="1">
      <c r="C506" s="44"/>
      <c r="D506" s="44"/>
      <c r="E506" s="44"/>
      <c r="F506" s="44"/>
      <c r="G506" s="46"/>
      <c r="H506" s="56"/>
    </row>
    <row r="507" spans="3:8" ht="13.9" customHeight="1">
      <c r="C507" s="44"/>
      <c r="D507" s="44"/>
      <c r="E507" s="44"/>
      <c r="F507" s="44"/>
      <c r="G507" s="46"/>
      <c r="H507" s="56"/>
    </row>
    <row r="508" spans="3:8" ht="13.9" customHeight="1">
      <c r="C508" s="44"/>
      <c r="D508" s="44"/>
      <c r="E508" s="44"/>
      <c r="F508" s="44"/>
      <c r="G508" s="46"/>
      <c r="H508" s="56"/>
    </row>
  </sheetData>
  <mergeCells count="6">
    <mergeCell ref="AA10:AD10"/>
    <mergeCell ref="C4:G4"/>
    <mergeCell ref="C5:G5"/>
    <mergeCell ref="C6:G6"/>
    <mergeCell ref="C9:I9"/>
    <mergeCell ref="J9:U9"/>
  </mergeCells>
  <phoneticPr fontId="0" type="noConversion"/>
  <pageMargins left="0.75" right="0.75" top="1" bottom="1" header="0.511811024" footer="0.511811024"/>
  <pageSetup scale="10" orientation="portrait" horizontalDpi="4294967292" r:id="rId4"/>
  <headerFooter alignWithMargins="0">
    <oddHeader>&amp;A</oddHeader>
    <oddFooter>Página &amp;P</oddFooter>
  </headerFooter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B2:F29"/>
  <sheetViews>
    <sheetView showGridLines="0" topLeftCell="A4" zoomScaleNormal="100" workbookViewId="0">
      <selection activeCell="F13" sqref="F13:F27"/>
    </sheetView>
  </sheetViews>
  <sheetFormatPr baseColWidth="10" defaultColWidth="11.42578125" defaultRowHeight="15.75"/>
  <cols>
    <col min="1" max="1" width="4.28515625" style="19" customWidth="1"/>
    <col min="2" max="2" width="3.28515625" style="19" customWidth="1"/>
    <col min="3" max="3" width="24.5703125" style="19" customWidth="1"/>
    <col min="4" max="4" width="18.28515625" style="19" customWidth="1"/>
    <col min="5" max="5" width="20.85546875" style="19" bestFit="1" customWidth="1"/>
    <col min="6" max="6" width="16.7109375" style="19" customWidth="1"/>
    <col min="7" max="16384" width="11.42578125" style="19"/>
  </cols>
  <sheetData>
    <row r="2" spans="2:6" ht="13.9" customHeight="1">
      <c r="B2" s="18" t="s">
        <v>49</v>
      </c>
      <c r="C2" s="18"/>
      <c r="D2" s="18"/>
      <c r="F2" s="20"/>
    </row>
    <row r="3" spans="2:6" s="21" customFormat="1" ht="13.9" customHeight="1">
      <c r="F3" s="22"/>
    </row>
    <row r="4" spans="2:6" s="21" customFormat="1" ht="13.9" customHeight="1">
      <c r="B4" s="23">
        <v>1</v>
      </c>
      <c r="C4" s="21" t="s">
        <v>50</v>
      </c>
      <c r="F4" s="22"/>
    </row>
    <row r="5" spans="2:6" s="21" customFormat="1" ht="13.9" customHeight="1">
      <c r="B5" s="23">
        <v>2</v>
      </c>
      <c r="C5" s="21" t="s">
        <v>51</v>
      </c>
      <c r="F5" s="22"/>
    </row>
    <row r="6" spans="2:6" s="21" customFormat="1" ht="13.9" customHeight="1">
      <c r="B6" s="23">
        <v>3</v>
      </c>
      <c r="C6" s="21" t="s">
        <v>52</v>
      </c>
      <c r="F6" s="22"/>
    </row>
    <row r="7" spans="2:6" s="21" customFormat="1" ht="13.9" customHeight="1">
      <c r="B7" s="23">
        <v>4</v>
      </c>
      <c r="C7" s="21" t="s">
        <v>53</v>
      </c>
      <c r="F7" s="22"/>
    </row>
    <row r="8" spans="2:6" s="21" customFormat="1" ht="13.9" customHeight="1">
      <c r="B8" s="23">
        <v>5</v>
      </c>
      <c r="C8" s="21" t="s">
        <v>54</v>
      </c>
      <c r="F8" s="22"/>
    </row>
    <row r="9" spans="2:6" s="21" customFormat="1" ht="13.9" customHeight="1">
      <c r="F9" s="22"/>
    </row>
    <row r="10" spans="2:6" s="21" customFormat="1" ht="13.9" customHeight="1">
      <c r="C10" s="24" t="s">
        <v>32</v>
      </c>
      <c r="D10" s="25">
        <v>3000</v>
      </c>
      <c r="E10" s="24" t="s">
        <v>745</v>
      </c>
      <c r="F10" s="25">
        <v>5000</v>
      </c>
    </row>
    <row r="11" spans="2:6" ht="13.9" customHeight="1">
      <c r="F11" s="20"/>
    </row>
    <row r="12" spans="2:6" s="26" customFormat="1" ht="22.5" customHeight="1">
      <c r="C12" s="27" t="s">
        <v>24</v>
      </c>
      <c r="D12" s="27" t="s">
        <v>55</v>
      </c>
      <c r="E12" s="28" t="s">
        <v>33</v>
      </c>
      <c r="F12" s="28" t="s">
        <v>35</v>
      </c>
    </row>
    <row r="13" spans="2:6" s="29" customFormat="1" ht="13.9" customHeight="1">
      <c r="C13" s="30" t="s">
        <v>23</v>
      </c>
      <c r="D13" s="31">
        <v>88</v>
      </c>
      <c r="E13" s="32">
        <f>D13*$F$10</f>
        <v>440000</v>
      </c>
      <c r="F13" s="33">
        <f>E13/$E$29</f>
        <v>0.12998522895125553</v>
      </c>
    </row>
    <row r="14" spans="2:6" s="29" customFormat="1" ht="13.9" customHeight="1">
      <c r="C14" s="30" t="s">
        <v>20</v>
      </c>
      <c r="D14" s="31">
        <v>88</v>
      </c>
      <c r="E14" s="32">
        <f>D14*$F$10</f>
        <v>440000</v>
      </c>
      <c r="F14" s="33">
        <f>E14/$E$29</f>
        <v>0.12998522895125553</v>
      </c>
    </row>
    <row r="15" spans="2:6" s="29" customFormat="1" ht="13.9" customHeight="1">
      <c r="C15" s="30" t="s">
        <v>30</v>
      </c>
      <c r="D15" s="31">
        <v>86</v>
      </c>
      <c r="E15" s="32">
        <f>D15*$F$10</f>
        <v>430000</v>
      </c>
      <c r="F15" s="33">
        <f>E15/$E$29</f>
        <v>0.12703101920236337</v>
      </c>
    </row>
    <row r="16" spans="2:6" s="29" customFormat="1" ht="13.9" customHeight="1">
      <c r="C16" s="30" t="s">
        <v>29</v>
      </c>
      <c r="D16" s="31">
        <v>69</v>
      </c>
      <c r="E16" s="32">
        <f>D16*$F$10</f>
        <v>345000</v>
      </c>
      <c r="F16" s="33">
        <f>E16/$E$29</f>
        <v>0.10192023633677991</v>
      </c>
    </row>
    <row r="17" spans="3:6" s="29" customFormat="1" ht="13.9" customHeight="1">
      <c r="C17" s="30" t="s">
        <v>28</v>
      </c>
      <c r="D17" s="31">
        <v>63</v>
      </c>
      <c r="E17" s="32">
        <f>D17*$F$10</f>
        <v>315000</v>
      </c>
      <c r="F17" s="33">
        <f>E17/$E$29</f>
        <v>9.3057607090103397E-2</v>
      </c>
    </row>
    <row r="18" spans="3:6" s="29" customFormat="1" ht="13.9" customHeight="1">
      <c r="C18" s="30" t="s">
        <v>21</v>
      </c>
      <c r="D18" s="31">
        <v>56</v>
      </c>
      <c r="E18" s="32">
        <f>D18*$F$10</f>
        <v>280000</v>
      </c>
      <c r="F18" s="33">
        <f>E18/$E$29</f>
        <v>8.2717872968980796E-2</v>
      </c>
    </row>
    <row r="19" spans="3:6" s="29" customFormat="1" ht="13.9" customHeight="1">
      <c r="C19" s="30" t="s">
        <v>26</v>
      </c>
      <c r="D19" s="31">
        <v>52</v>
      </c>
      <c r="E19" s="32">
        <f>D19*$F$10</f>
        <v>260000</v>
      </c>
      <c r="F19" s="33">
        <f>E19/$E$29</f>
        <v>7.6809453471196457E-2</v>
      </c>
    </row>
    <row r="20" spans="3:6" s="29" customFormat="1" ht="13.9" customHeight="1">
      <c r="C20" s="30" t="s">
        <v>27</v>
      </c>
      <c r="D20" s="31">
        <v>37</v>
      </c>
      <c r="E20" s="32">
        <f>D20*$F$10</f>
        <v>185000</v>
      </c>
      <c r="F20" s="106">
        <f>E20/$E$29</f>
        <v>5.4652880354505169E-2</v>
      </c>
    </row>
    <row r="21" spans="3:6" s="29" customFormat="1" ht="13.9" customHeight="1">
      <c r="C21" s="30" t="s">
        <v>22</v>
      </c>
      <c r="D21" s="31">
        <v>25</v>
      </c>
      <c r="E21" s="32">
        <f>D21*$F$10</f>
        <v>125000</v>
      </c>
      <c r="F21" s="33">
        <f>E21/$E$29</f>
        <v>3.6927621861152143E-2</v>
      </c>
    </row>
    <row r="22" spans="3:6" s="29" customFormat="1" ht="13.9" customHeight="1">
      <c r="C22" s="30" t="s">
        <v>19</v>
      </c>
      <c r="D22" s="31">
        <v>22</v>
      </c>
      <c r="E22" s="32">
        <f>D22*$F$10</f>
        <v>110000</v>
      </c>
      <c r="F22" s="33">
        <f>E22/$E$29</f>
        <v>3.2496307237813882E-2</v>
      </c>
    </row>
    <row r="23" spans="3:6" s="29" customFormat="1" ht="13.9" customHeight="1">
      <c r="C23" s="30" t="s">
        <v>36</v>
      </c>
      <c r="D23" s="31">
        <v>22</v>
      </c>
      <c r="E23" s="32">
        <f>D23*$F$10</f>
        <v>110000</v>
      </c>
      <c r="F23" s="33">
        <f>E23/$E$29</f>
        <v>3.2496307237813882E-2</v>
      </c>
    </row>
    <row r="24" spans="3:6" s="29" customFormat="1" ht="13.9" customHeight="1">
      <c r="C24" s="30" t="s">
        <v>17</v>
      </c>
      <c r="D24" s="31">
        <v>21</v>
      </c>
      <c r="E24" s="32">
        <f>D24*$F$10</f>
        <v>105000</v>
      </c>
      <c r="F24" s="33">
        <f>E24/$E$29</f>
        <v>3.10192023633678E-2</v>
      </c>
    </row>
    <row r="25" spans="3:6" s="29" customFormat="1" ht="13.9" customHeight="1">
      <c r="C25" s="30" t="s">
        <v>25</v>
      </c>
      <c r="D25" s="31">
        <v>18</v>
      </c>
      <c r="E25" s="32">
        <f>D25*$F$10</f>
        <v>90000</v>
      </c>
      <c r="F25" s="33">
        <f>E25/$E$29</f>
        <v>2.6587887740029542E-2</v>
      </c>
    </row>
    <row r="26" spans="3:6" s="29" customFormat="1" ht="13.9" customHeight="1">
      <c r="C26" s="30" t="s">
        <v>18</v>
      </c>
      <c r="D26" s="31">
        <v>17</v>
      </c>
      <c r="E26" s="32">
        <f>D26*$F$10</f>
        <v>85000</v>
      </c>
      <c r="F26" s="33">
        <f>E26/$E$29</f>
        <v>2.5110782865583457E-2</v>
      </c>
    </row>
    <row r="27" spans="3:6" s="29" customFormat="1" ht="13.9" customHeight="1">
      <c r="C27" s="30" t="s">
        <v>31</v>
      </c>
      <c r="D27" s="31">
        <v>13</v>
      </c>
      <c r="E27" s="32">
        <f>D27*$F$10</f>
        <v>65000</v>
      </c>
      <c r="F27" s="33">
        <f>E27/$E$29</f>
        <v>1.9202363367799114E-2</v>
      </c>
    </row>
    <row r="28" spans="3:6" ht="13.9" customHeight="1">
      <c r="F28" s="34"/>
    </row>
    <row r="29" spans="3:6" s="36" customFormat="1" ht="13.9" customHeight="1">
      <c r="C29" s="35" t="s">
        <v>34</v>
      </c>
      <c r="D29" s="84">
        <f>SUM(D13:D27)</f>
        <v>677</v>
      </c>
      <c r="E29" s="85">
        <f>SUM(E13:E27)</f>
        <v>3385000</v>
      </c>
      <c r="F29" s="83"/>
    </row>
  </sheetData>
  <autoFilter ref="C12:F27">
    <sortState ref="C13:F27">
      <sortCondition descending="1" ref="E12:E27"/>
    </sortState>
  </autoFilter>
  <sortState ref="C13:F27">
    <sortCondition descending="1" ref="F13:F27"/>
  </sortState>
  <conditionalFormatting sqref="F13:F27">
    <cfRule type="cellIs" dxfId="1" priority="1" operator="between">
      <formula>0.07</formula>
      <formula>0.04</formula>
    </cfRule>
  </conditionalFormatting>
  <pageMargins left="0.75" right="0.75" top="1" bottom="1" header="0.511811024" footer="0.511811024"/>
  <pageSetup scale="83" orientation="portrait" horizontalDpi="300" verticalDpi="300" r:id="rId1"/>
  <headerFooter alignWithMargins="0">
    <oddHeader>&amp;A</oddHeader>
    <oddFooter>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I19"/>
  <sheetViews>
    <sheetView showGridLines="0" zoomScaleNormal="100" workbookViewId="0">
      <selection activeCell="F20" sqref="F20"/>
    </sheetView>
  </sheetViews>
  <sheetFormatPr baseColWidth="10" defaultColWidth="11.42578125" defaultRowHeight="13.9" customHeight="1"/>
  <cols>
    <col min="1" max="1" width="6.28515625" style="39" customWidth="1"/>
    <col min="2" max="2" width="2.7109375" style="39" customWidth="1"/>
    <col min="3" max="3" width="20.140625" style="39" customWidth="1"/>
    <col min="4" max="4" width="16.7109375" style="39" customWidth="1"/>
    <col min="5" max="5" width="19.28515625" style="39" customWidth="1"/>
    <col min="6" max="6" width="20.140625" style="39" customWidth="1"/>
    <col min="7" max="10" width="16.7109375" style="39" customWidth="1"/>
    <col min="11" max="16384" width="11.42578125" style="39"/>
  </cols>
  <sheetData>
    <row r="2" spans="1:9" ht="13.9" customHeight="1">
      <c r="A2" s="38"/>
      <c r="B2" s="38" t="s">
        <v>48</v>
      </c>
      <c r="C2" s="38"/>
    </row>
    <row r="3" spans="1:9" ht="71.099999999999994" customHeight="1">
      <c r="B3" s="52">
        <v>1</v>
      </c>
      <c r="C3" s="103" t="s">
        <v>741</v>
      </c>
      <c r="D3" s="104"/>
      <c r="E3" s="104"/>
      <c r="F3" s="104"/>
      <c r="G3" s="41"/>
      <c r="H3" s="41"/>
      <c r="I3" s="41"/>
    </row>
    <row r="4" spans="1:9" ht="27.75" customHeight="1">
      <c r="B4" s="40">
        <v>2</v>
      </c>
      <c r="C4" s="104" t="s">
        <v>57</v>
      </c>
      <c r="D4" s="104"/>
      <c r="E4" s="104"/>
      <c r="F4" s="104"/>
      <c r="G4" s="41"/>
      <c r="H4" s="41"/>
      <c r="I4" s="41"/>
    </row>
    <row r="5" spans="1:9" ht="13.9" customHeight="1">
      <c r="C5" s="41"/>
      <c r="D5" s="41"/>
      <c r="E5" s="41"/>
      <c r="F5" s="41"/>
      <c r="G5" s="41"/>
      <c r="H5" s="41"/>
      <c r="I5" s="41"/>
    </row>
    <row r="6" spans="1:9" ht="13.9" customHeight="1">
      <c r="C6" s="42" t="s">
        <v>0</v>
      </c>
      <c r="D6" s="43" t="s">
        <v>1</v>
      </c>
      <c r="E6" s="43" t="s">
        <v>2</v>
      </c>
      <c r="F6" s="43" t="s">
        <v>3</v>
      </c>
    </row>
    <row r="7" spans="1:9" ht="13.9" customHeight="1">
      <c r="C7" s="44" t="s">
        <v>4</v>
      </c>
      <c r="D7" s="45">
        <v>35</v>
      </c>
      <c r="E7" s="46" t="s">
        <v>746</v>
      </c>
      <c r="F7" s="46" t="str">
        <f>IF(AND(D7&gt;=29,E7="SOLTERO"),"APROBADO","NEGADO")</f>
        <v>APROBADO</v>
      </c>
    </row>
    <row r="8" spans="1:9" ht="13.9" customHeight="1">
      <c r="C8" s="44" t="s">
        <v>5</v>
      </c>
      <c r="D8" s="45">
        <v>40</v>
      </c>
      <c r="E8" s="46" t="s">
        <v>747</v>
      </c>
      <c r="F8" s="46" t="str">
        <f t="shared" ref="F8:F17" si="0">IF(AND(D8&gt;=29,E8="SOLTERO"),"APROBADO","NEGADO")</f>
        <v>NEGADO</v>
      </c>
    </row>
    <row r="9" spans="1:9" ht="13.9" customHeight="1">
      <c r="C9" s="44" t="s">
        <v>6</v>
      </c>
      <c r="D9" s="45">
        <v>28</v>
      </c>
      <c r="E9" s="46" t="s">
        <v>746</v>
      </c>
      <c r="F9" s="46" t="str">
        <f t="shared" si="0"/>
        <v>NEGADO</v>
      </c>
    </row>
    <row r="10" spans="1:9" ht="13.9" customHeight="1">
      <c r="C10" s="44" t="s">
        <v>7</v>
      </c>
      <c r="D10" s="45">
        <v>36</v>
      </c>
      <c r="E10" s="46" t="s">
        <v>746</v>
      </c>
      <c r="F10" s="46" t="str">
        <f t="shared" si="0"/>
        <v>APROBADO</v>
      </c>
    </row>
    <row r="11" spans="1:9" ht="13.9" customHeight="1">
      <c r="C11" s="44" t="s">
        <v>8</v>
      </c>
      <c r="D11" s="45">
        <v>23</v>
      </c>
      <c r="E11" s="46" t="s">
        <v>747</v>
      </c>
      <c r="F11" s="46" t="str">
        <f t="shared" si="0"/>
        <v>NEGADO</v>
      </c>
    </row>
    <row r="12" spans="1:9" ht="13.9" customHeight="1">
      <c r="C12" s="44" t="s">
        <v>9</v>
      </c>
      <c r="D12" s="45">
        <v>51</v>
      </c>
      <c r="E12" s="46" t="s">
        <v>746</v>
      </c>
      <c r="F12" s="46" t="str">
        <f t="shared" si="0"/>
        <v>APROBADO</v>
      </c>
    </row>
    <row r="13" spans="1:9" ht="13.9" customHeight="1">
      <c r="C13" s="44" t="s">
        <v>37</v>
      </c>
      <c r="D13" s="45">
        <v>34</v>
      </c>
      <c r="E13" s="46" t="s">
        <v>746</v>
      </c>
      <c r="F13" s="46" t="str">
        <f t="shared" si="0"/>
        <v>APROBADO</v>
      </c>
    </row>
    <row r="14" spans="1:9" ht="13.9" customHeight="1">
      <c r="C14" s="44" t="s">
        <v>38</v>
      </c>
      <c r="D14" s="45">
        <v>48</v>
      </c>
      <c r="E14" s="46" t="s">
        <v>747</v>
      </c>
      <c r="F14" s="46" t="str">
        <f t="shared" si="0"/>
        <v>NEGADO</v>
      </c>
    </row>
    <row r="15" spans="1:9" ht="13.9" customHeight="1">
      <c r="C15" s="44" t="s">
        <v>39</v>
      </c>
      <c r="D15" s="45">
        <v>26</v>
      </c>
      <c r="E15" s="46" t="s">
        <v>746</v>
      </c>
      <c r="F15" s="46" t="str">
        <f t="shared" si="0"/>
        <v>NEGADO</v>
      </c>
    </row>
    <row r="16" spans="1:9" ht="13.9" customHeight="1">
      <c r="C16" s="44" t="s">
        <v>40</v>
      </c>
      <c r="D16" s="45">
        <v>22</v>
      </c>
      <c r="E16" s="46" t="s">
        <v>747</v>
      </c>
      <c r="F16" s="46" t="str">
        <f t="shared" si="0"/>
        <v>NEGADO</v>
      </c>
    </row>
    <row r="17" spans="3:6" ht="13.9" customHeight="1">
      <c r="C17" s="44" t="s">
        <v>41</v>
      </c>
      <c r="D17" s="45">
        <v>36</v>
      </c>
      <c r="E17" s="46" t="s">
        <v>746</v>
      </c>
      <c r="F17" s="46" t="str">
        <f t="shared" si="0"/>
        <v>APROBADO</v>
      </c>
    </row>
    <row r="18" spans="3:6" ht="13.9" customHeight="1">
      <c r="F18" s="46"/>
    </row>
    <row r="19" spans="3:6" s="51" customFormat="1" ht="13.9" customHeight="1">
      <c r="C19" s="47" t="s">
        <v>56</v>
      </c>
      <c r="D19" s="48"/>
      <c r="E19" s="49"/>
      <c r="F19" s="50">
        <f>COUNTIF(F7:F17,"APROBADO")</f>
        <v>5</v>
      </c>
    </row>
  </sheetData>
  <mergeCells count="2">
    <mergeCell ref="C3:F3"/>
    <mergeCell ref="C4:F4"/>
  </mergeCells>
  <phoneticPr fontId="0" type="noConversion"/>
  <conditionalFormatting sqref="C6:F6">
    <cfRule type="cellIs" priority="6" stopIfTrue="1" operator="greaterThanOrEqual">
      <formula>29</formula>
    </cfRule>
    <cfRule type="cellIs" priority="7" stopIfTrue="1" operator="equal">
      <formula>"soltero"</formula>
    </cfRule>
  </conditionalFormatting>
  <conditionalFormatting sqref="F19">
    <cfRule type="expression" priority="1" stopIfTrue="1">
      <formula>"sumar($D$8:$D$18)=verdadero"</formula>
    </cfRule>
  </conditionalFormatting>
  <pageMargins left="0.75" right="0.75" top="1" bottom="1" header="0.511811024" footer="0.511811024"/>
  <pageSetup scale="88" orientation="portrait" horizontalDpi="4294967292" verticalDpi="0" r:id="rId1"/>
  <headerFooter alignWithMargins="0">
    <oddHeader>&amp;A</oddHeader>
    <oddFooter>Página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B2:I24"/>
  <sheetViews>
    <sheetView showGridLines="0" tabSelected="1" topLeftCell="A7" zoomScaleNormal="100" workbookViewId="0">
      <selection activeCell="F25" sqref="F25"/>
    </sheetView>
  </sheetViews>
  <sheetFormatPr baseColWidth="10" defaultRowHeight="13.9" customHeight="1"/>
  <cols>
    <col min="2" max="2" width="3.28515625" customWidth="1"/>
    <col min="3" max="3" width="21.5703125" customWidth="1"/>
    <col min="4" max="4" width="18.5703125" customWidth="1"/>
    <col min="5" max="5" width="24" customWidth="1"/>
    <col min="6" max="6" width="32.7109375" customWidth="1"/>
    <col min="7" max="8" width="16.7109375" customWidth="1"/>
    <col min="9" max="9" width="19" customWidth="1"/>
    <col min="10" max="10" width="16.7109375" customWidth="1"/>
  </cols>
  <sheetData>
    <row r="2" spans="2:9" ht="13.9" customHeight="1">
      <c r="B2" s="1" t="s">
        <v>49</v>
      </c>
      <c r="C2" s="1"/>
    </row>
    <row r="4" spans="2:9" s="7" customFormat="1" ht="45.75" customHeight="1">
      <c r="B4" s="54">
        <v>1</v>
      </c>
      <c r="C4" s="105" t="s">
        <v>58</v>
      </c>
      <c r="D4" s="105"/>
      <c r="E4" s="105"/>
      <c r="F4" s="105"/>
      <c r="G4" s="4"/>
      <c r="H4" s="4"/>
      <c r="I4" s="4"/>
    </row>
    <row r="5" spans="2:9" s="7" customFormat="1" ht="13.9" customHeight="1">
      <c r="B5" s="7">
        <v>2</v>
      </c>
      <c r="C5" s="2" t="s">
        <v>59</v>
      </c>
      <c r="D5" s="4"/>
      <c r="E5" s="4"/>
      <c r="F5" s="4"/>
      <c r="G5" s="4"/>
      <c r="H5" s="4"/>
      <c r="I5" s="4"/>
    </row>
    <row r="6" spans="2:9" s="7" customFormat="1" ht="13.9" customHeight="1">
      <c r="B6" s="7">
        <v>3</v>
      </c>
      <c r="C6" s="2" t="s">
        <v>60</v>
      </c>
      <c r="D6" s="4"/>
      <c r="E6" s="4"/>
      <c r="F6" s="4"/>
      <c r="G6" s="4"/>
      <c r="H6" s="4"/>
      <c r="I6" s="4"/>
    </row>
    <row r="7" spans="2:9" ht="13.9" customHeight="1">
      <c r="C7" s="3"/>
      <c r="D7" s="3"/>
      <c r="E7" s="3"/>
      <c r="F7" s="3"/>
      <c r="G7" s="3"/>
      <c r="H7" s="3"/>
      <c r="I7" s="3"/>
    </row>
    <row r="8" spans="2:9" s="13" customFormat="1" ht="27.6" customHeight="1">
      <c r="C8" s="37" t="s">
        <v>0</v>
      </c>
      <c r="D8" s="37" t="s">
        <v>10</v>
      </c>
      <c r="E8" s="53" t="s">
        <v>63</v>
      </c>
      <c r="F8" s="37" t="s">
        <v>11</v>
      </c>
    </row>
    <row r="9" spans="2:9" s="13" customFormat="1" ht="13.9" customHeight="1">
      <c r="C9" s="5" t="s">
        <v>12</v>
      </c>
      <c r="D9" s="17">
        <v>3500000</v>
      </c>
      <c r="E9" s="6">
        <v>10</v>
      </c>
      <c r="F9" s="6" t="str">
        <f>IF(OR(D9&lt;100000,E9&gt;10),"Tienebonificacion","No tiene bonifficacion")</f>
        <v>No tiene bonifficacion</v>
      </c>
      <c r="I9" s="16">
        <v>1000000</v>
      </c>
    </row>
    <row r="10" spans="2:9" s="13" customFormat="1" ht="13.9" customHeight="1">
      <c r="C10" s="5" t="s">
        <v>13</v>
      </c>
      <c r="D10" s="17">
        <v>950000</v>
      </c>
      <c r="E10" s="6">
        <v>1</v>
      </c>
      <c r="F10" s="6" t="str">
        <f>IF(OR(D10&lt;100000,E10&gt;10),"Tienebonificacion","No tiene bonifficacion")</f>
        <v>No tiene bonifficacion</v>
      </c>
    </row>
    <row r="11" spans="2:9" s="13" customFormat="1" ht="13.9" customHeight="1">
      <c r="C11" s="5" t="s">
        <v>14</v>
      </c>
      <c r="D11" s="17">
        <v>1500000</v>
      </c>
      <c r="E11" s="6">
        <v>20</v>
      </c>
      <c r="F11" s="6" t="str">
        <f t="shared" ref="F11:F19" si="0">IF(OR(D11&lt;100000,E11&gt;10),"Tienebonificacion","No tiene bonifficacion")</f>
        <v>Tienebonificacion</v>
      </c>
    </row>
    <row r="12" spans="2:9" s="13" customFormat="1" ht="13.9" customHeight="1">
      <c r="C12" s="5" t="s">
        <v>15</v>
      </c>
      <c r="D12" s="17">
        <v>2800000</v>
      </c>
      <c r="E12" s="6">
        <v>5</v>
      </c>
      <c r="F12" s="6" t="str">
        <f t="shared" si="0"/>
        <v>No tiene bonifficacion</v>
      </c>
    </row>
    <row r="13" spans="2:9" s="13" customFormat="1" ht="13.9" customHeight="1">
      <c r="C13" s="5" t="s">
        <v>16</v>
      </c>
      <c r="D13" s="17">
        <v>750000</v>
      </c>
      <c r="E13" s="6">
        <v>10</v>
      </c>
      <c r="F13" s="6" t="str">
        <f t="shared" si="0"/>
        <v>No tiene bonifficacion</v>
      </c>
    </row>
    <row r="14" spans="2:9" s="13" customFormat="1" ht="13.9" customHeight="1">
      <c r="C14" s="5" t="s">
        <v>9</v>
      </c>
      <c r="D14" s="17">
        <v>1500000</v>
      </c>
      <c r="E14" s="6">
        <v>1</v>
      </c>
      <c r="F14" s="6" t="str">
        <f t="shared" si="0"/>
        <v>No tiene bonifficacion</v>
      </c>
    </row>
    <row r="15" spans="2:9" s="13" customFormat="1" ht="13.9" customHeight="1">
      <c r="C15" s="15" t="s">
        <v>42</v>
      </c>
      <c r="D15" s="17">
        <v>2800000</v>
      </c>
      <c r="E15" s="14">
        <v>11</v>
      </c>
      <c r="F15" s="6" t="str">
        <f t="shared" si="0"/>
        <v>Tienebonificacion</v>
      </c>
    </row>
    <row r="16" spans="2:9" s="13" customFormat="1" ht="13.9" customHeight="1">
      <c r="C16" s="15" t="s">
        <v>43</v>
      </c>
      <c r="D16" s="17">
        <v>1650000</v>
      </c>
      <c r="E16" s="14">
        <v>12</v>
      </c>
      <c r="F16" s="6" t="str">
        <f t="shared" si="0"/>
        <v>Tienebonificacion</v>
      </c>
    </row>
    <row r="17" spans="3:7" s="13" customFormat="1" ht="13.9" customHeight="1">
      <c r="C17" s="15" t="s">
        <v>44</v>
      </c>
      <c r="D17" s="17">
        <v>200000</v>
      </c>
      <c r="E17" s="14">
        <v>5</v>
      </c>
      <c r="F17" s="6" t="str">
        <f t="shared" si="0"/>
        <v>No tiene bonifficacion</v>
      </c>
    </row>
    <row r="18" spans="3:7" s="13" customFormat="1" ht="13.9" customHeight="1">
      <c r="C18" s="15" t="s">
        <v>45</v>
      </c>
      <c r="D18" s="17">
        <v>2500000</v>
      </c>
      <c r="E18" s="14">
        <v>4</v>
      </c>
      <c r="F18" s="6" t="str">
        <f t="shared" si="0"/>
        <v>No tiene bonifficacion</v>
      </c>
    </row>
    <row r="19" spans="3:7" s="13" customFormat="1" ht="13.9" customHeight="1">
      <c r="C19" s="15" t="s">
        <v>46</v>
      </c>
      <c r="D19" s="17">
        <v>1400000</v>
      </c>
      <c r="E19" s="14">
        <v>10</v>
      </c>
      <c r="F19" s="6" t="str">
        <f t="shared" si="0"/>
        <v>No tiene bonifficacion</v>
      </c>
    </row>
    <row r="20" spans="3:7" s="7" customFormat="1" ht="13.9" customHeight="1">
      <c r="G20" s="13"/>
    </row>
    <row r="21" spans="3:7" ht="13.9" customHeight="1">
      <c r="G21" s="13"/>
    </row>
    <row r="22" spans="3:7" s="8" customFormat="1" ht="13.9" customHeight="1">
      <c r="C22" s="9" t="s">
        <v>61</v>
      </c>
      <c r="D22" s="10"/>
      <c r="E22" s="11"/>
      <c r="F22" s="12">
        <f>COUNTIF(D9:D19,"&lt;1000000")</f>
        <v>3</v>
      </c>
      <c r="G22" s="13"/>
    </row>
    <row r="24" spans="3:7" ht="13.9" customHeight="1">
      <c r="C24" s="9" t="s">
        <v>62</v>
      </c>
      <c r="D24" s="10"/>
      <c r="E24" s="11"/>
      <c r="F24" s="12">
        <f>COUNTIF(E9:E19,"&gt;10")</f>
        <v>3</v>
      </c>
      <c r="G24" s="61"/>
    </row>
  </sheetData>
  <dataConsolidate/>
  <mergeCells count="1">
    <mergeCell ref="C4:F4"/>
  </mergeCells>
  <phoneticPr fontId="0" type="noConversion"/>
  <conditionalFormatting sqref="C9:E19">
    <cfRule type="expression" priority="5" stopIfTrue="1">
      <formula>$D$9&lt;1000000</formula>
    </cfRule>
    <cfRule type="expression" priority="6" stopIfTrue="1">
      <formula>$E$9&gt;10</formula>
    </cfRule>
  </conditionalFormatting>
  <conditionalFormatting sqref="F9:F19">
    <cfRule type="expression" priority="3" stopIfTrue="1">
      <formula>$D$9&lt;1000000</formula>
    </cfRule>
    <cfRule type="expression" priority="4" stopIfTrue="1">
      <formula>$E$9&gt;10</formula>
    </cfRule>
  </conditionalFormatting>
  <pageMargins left="0.75" right="0.75" top="1" bottom="1" header="0.511811024" footer="0.511811024"/>
  <pageSetup scale="79" orientation="portrait" horizontalDpi="4294967292" verticalDpi="0" r:id="rId1"/>
  <headerFooter alignWithMargins="0">
    <oddHeader>&amp;A</oddHeader>
    <oddFooter>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Base ejecuciones Oct-17 (2)</vt:lpstr>
      <vt:lpstr>Base ejecuciones Oct-17</vt:lpstr>
      <vt:lpstr>Punto # 1,</vt:lpstr>
      <vt:lpstr>Punto # 3,</vt:lpstr>
      <vt:lpstr>Punto # 4,</vt:lpstr>
      <vt:lpstr>Punto Extra</vt:lpstr>
    </vt:vector>
  </TitlesOfParts>
  <Company>COLPATRIA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Unidad de Inversión Colpatria</dc:creator>
  <cp:lastModifiedBy>Compaq</cp:lastModifiedBy>
  <dcterms:created xsi:type="dcterms:W3CDTF">2001-01-26T19:55:53Z</dcterms:created>
  <dcterms:modified xsi:type="dcterms:W3CDTF">2022-11-16T17:25:54Z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fb987188-e541-478e-a132-7c85df71e847</vt:lpwstr>
  </property>
</Properties>
</file>